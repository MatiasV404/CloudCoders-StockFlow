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" sheetId="1" r:id="rId4"/>
    <sheet state="visible" name="Scrumboard" sheetId="2" r:id="rId5"/>
    <sheet state="visible" name="Sprint Planning" sheetId="3" r:id="rId6"/>
    <sheet state="visible" name="Burndown Chart" sheetId="4" r:id="rId7"/>
    <sheet state="visible" name="Registro de impedimentos - Impe" sheetId="5" r:id="rId8"/>
    <sheet state="visible" name="Epicas" sheetId="6" r:id="rId9"/>
    <sheet state="visible" name="Backlog" sheetId="7" r:id="rId10"/>
    <sheet state="visible" name="Backlog Priorizado" sheetId="8" r:id="rId11"/>
    <sheet state="visible" name="Refinamiento del Backlog" sheetId="9" r:id="rId12"/>
    <sheet state="visible" name="Refinamiento del Sprint" sheetId="10" r:id="rId13"/>
    <sheet state="visible" name="Sprint Priorizado" sheetId="11" r:id="rId14"/>
    <sheet state="hidden" name="Sprints priorizados (antig)" sheetId="12" r:id="rId15"/>
    <sheet state="visible" name="Review" sheetId="13" r:id="rId16"/>
    <sheet state="visible" name="Retrospectivas" sheetId="14" r:id="rId17"/>
    <sheet state="visible" name="Sprint Reviews" sheetId="15" r:id="rId18"/>
  </sheets>
  <definedNames/>
  <calcPr/>
</workbook>
</file>

<file path=xl/sharedStrings.xml><?xml version="1.0" encoding="utf-8"?>
<sst xmlns="http://schemas.openxmlformats.org/spreadsheetml/2006/main" count="2082" uniqueCount="1124">
  <si>
    <t>ACTA DIARIA (Daily Meeting)</t>
  </si>
  <si>
    <t>Fecha</t>
  </si>
  <si>
    <t>Sprint</t>
  </si>
  <si>
    <t>Objetivo</t>
  </si>
  <si>
    <t>Participantes</t>
  </si>
  <si>
    <t>¿Qué hice ayer?</t>
  </si>
  <si>
    <t>¿Qué haré hoy?</t>
  </si>
  <si>
    <t>Impedimentos</t>
  </si>
  <si>
    <t>Colaboración</t>
  </si>
  <si>
    <t>Compromisos</t>
  </si>
  <si>
    <t>Sprint Funcional 1</t>
  </si>
  <si>
    <t>Definir proyecto</t>
  </si>
  <si>
    <t>Matías, Alexander</t>
  </si>
  <si>
    <t>N/A (primer día)</t>
  </si>
  <si>
    <t>Desarrollar el alcance del proyecto</t>
  </si>
  <si>
    <t>Ninguno</t>
  </si>
  <si>
    <t>Reunión de equipo de desarrollo</t>
  </si>
  <si>
    <t>Conocer la solución al problema planteado</t>
  </si>
  <si>
    <t>Definir tecnologías a utilizar</t>
  </si>
  <si>
    <t>Se desarrolló el alcance de la aplicación web</t>
  </si>
  <si>
    <t>Comenzar a desarrollar el diagrama de arquitectura</t>
  </si>
  <si>
    <t>Desconocimiento de tecnologías gratuitas que soporten la solución</t>
  </si>
  <si>
    <t>Definir las tecnologías que se utilizarán</t>
  </si>
  <si>
    <t>Definir metodología a utilizar</t>
  </si>
  <si>
    <t>Se definieron las tecnologías que se utilizarán: Vite + Vue + Tailwind CSS + Firebase</t>
  </si>
  <si>
    <t>Desarrollar las convenciones de metodología de trabajo</t>
  </si>
  <si>
    <t>Definir duración de los Sprints, convenciones, metodología, acuerdos</t>
  </si>
  <si>
    <t>Definir diagrama de arquitectura</t>
  </si>
  <si>
    <t>Se definió la metodología que se utilizará para el proyecto</t>
  </si>
  <si>
    <t>Diseñar diagrama de arquitectura</t>
  </si>
  <si>
    <t>Tener una primera versión del diagrama de arquitectura.</t>
  </si>
  <si>
    <t>Desarrollar mockups de la aplicación</t>
  </si>
  <si>
    <t>Se desarrolló el diagrama de arquitectura de la aplicación StockFlow</t>
  </si>
  <si>
    <t>Desarrollar los borradores de UI de la aplicación</t>
  </si>
  <si>
    <t>Tener al menos 5 vistas de la aplicación</t>
  </si>
  <si>
    <t>Desarrollar modelo de datos</t>
  </si>
  <si>
    <t>Se crearon vistas de la aplicación web como mockups</t>
  </si>
  <si>
    <t>Desarrollar la primera versión del modelo de datos</t>
  </si>
  <si>
    <t>Conocer las entidades y conexiones entre los datos</t>
  </si>
  <si>
    <t>Crear el proyecto base de Vite</t>
  </si>
  <si>
    <t>Se obtuvo la primera versión del modelo de datos</t>
  </si>
  <si>
    <t>Crear el cimiento del proyecto con las últimas versiones de Vite</t>
  </si>
  <si>
    <t>Desconocimiento de la tecnoología Vite + Vue.</t>
  </si>
  <si>
    <t>Tener el proyecto base de Vite levaantado en localhost</t>
  </si>
  <si>
    <t>Comenzar la integración de Firebase Auth</t>
  </si>
  <si>
    <t>Se creó y configuró la primera versión de Vite. proyecto limpio</t>
  </si>
  <si>
    <t>Enlazar aplicación Vite con Firebase Authentication</t>
  </si>
  <si>
    <t>Desconocimiento de la integración del servicio</t>
  </si>
  <si>
    <t>Tener las variables de entorno y aplicación configuradas para usar Firebase Auth</t>
  </si>
  <si>
    <t>Desarrollar vista de sesión para el usuario</t>
  </si>
  <si>
    <t>Configurar y enlazar StockFlow con Firebase Auth</t>
  </si>
  <si>
    <t>Comenzar a desarrollar la vista de sesión para el usuario</t>
  </si>
  <si>
    <t>Falta familiarización con Vue</t>
  </si>
  <si>
    <t>Desarrollar la primera versión de el inicio de sesión</t>
  </si>
  <si>
    <t>Control</t>
  </si>
  <si>
    <t>Comenzar el desarrollo de la vista inicial "inicio de sesión"</t>
  </si>
  <si>
    <t>Continuar con el desarrollo</t>
  </si>
  <si>
    <t>Tener el DOM de la vista</t>
  </si>
  <si>
    <t>Desarrollar Componentes para UI</t>
  </si>
  <si>
    <t>Repartir deberes y continuar con desarrollo</t>
  </si>
  <si>
    <t>Generar algunos componentes UI</t>
  </si>
  <si>
    <t>Trabajo</t>
  </si>
  <si>
    <t>Tener almenos 1 componente para utilizar, almenos la estructura UI</t>
  </si>
  <si>
    <t>Continuar con desarrollo de componentes UI</t>
  </si>
  <si>
    <t>Se generó almenos 1 componente UI</t>
  </si>
  <si>
    <t>Continuar con el desarrollo de componentes UI</t>
  </si>
  <si>
    <t>Generar pagina "Login" basico</t>
  </si>
  <si>
    <t>Construir una pagina con estructura basica para generar "Login"</t>
  </si>
  <si>
    <t>Tener una primera versión de la plataforma del "Login"</t>
  </si>
  <si>
    <t>Generar detalles de estructura y diseño del "Login"</t>
  </si>
  <si>
    <t>Contruir estructura simple de "Login"</t>
  </si>
  <si>
    <t>Se agregan detalles y mejoras pagina con estructura basica de "Login"</t>
  </si>
  <si>
    <t>Tener listo una version basica funcional del "Login"</t>
  </si>
  <si>
    <t>Configurar variables de entorno y preparar CRUD basico</t>
  </si>
  <si>
    <t>Login basico funcionando parcialmente</t>
  </si>
  <si>
    <t>Realizar configuracion de las variables de entorno y preparar las bases para un crud de productos</t>
  </si>
  <si>
    <t>Configuradas las variables de entorno y estructura basica del CRUD de productos</t>
  </si>
  <si>
    <t>Sprint Funcional 2</t>
  </si>
  <si>
    <t>Desarrollo del CRUD</t>
  </si>
  <si>
    <t>Avance del desarrollo del CRUD basico</t>
  </si>
  <si>
    <t>Finalizar desarrollo del CRUD basico</t>
  </si>
  <si>
    <t>Tener listo un CRUD de los productos</t>
  </si>
  <si>
    <t>Implementar listado de productos</t>
  </si>
  <si>
    <t>CRUD básico funcional</t>
  </si>
  <si>
    <t>Crear vista y lógica para mostrar productos almacenados</t>
  </si>
  <si>
    <t>Manejo de datos en tiempo real desde Firebase</t>
  </si>
  <si>
    <t>Mostrar correctamente los productos en pantalla</t>
  </si>
  <si>
    <t>Mejorar diseño del listado de productos</t>
  </si>
  <si>
    <t>Listado de productos funcional</t>
  </si>
  <si>
    <t>Agregar detalles visuales y estructura más clara al listado</t>
  </si>
  <si>
    <t>Ajuste de estilos y estructura en Vue</t>
  </si>
  <si>
    <t>Optimizar la experiencia visual del listado</t>
  </si>
  <si>
    <t>Implementar edición de productos</t>
  </si>
  <si>
    <t>Listado visual mejorado</t>
  </si>
  <si>
    <t>Crear funcionalidad para editar información de un producto</t>
  </si>
  <si>
    <t>Validaciones de campos en formulario</t>
  </si>
  <si>
    <t>Permitir edición de productos correctamente</t>
  </si>
  <si>
    <t>Probar y ajustar edición de productos</t>
  </si>
  <si>
    <t>Edición básica creada</t>
  </si>
  <si>
    <t>Revisar errores en la actualización y guardar cambios en Firebase</t>
  </si>
  <si>
    <t>Sincronización de datos en tiempo real</t>
  </si>
  <si>
    <t>Confirmar funcionamiento estable de la edición</t>
  </si>
  <si>
    <t>Diseñar endpoint para eliminar producto</t>
  </si>
  <si>
    <t>Edición de producto estable</t>
  </si>
  <si>
    <t>Crear lógica y estructura para eliminar un producto</t>
  </si>
  <si>
    <t>Permisos de eliminación y validación</t>
  </si>
  <si>
    <t>Tener funcionalidad de eliminación en backend</t>
  </si>
  <si>
    <t>Implementar interfaz para eliminar producto</t>
  </si>
  <si>
    <t>Endpoint funcional</t>
  </si>
  <si>
    <t>Diseñar botones y eventos para eliminar producto desde la interfaz</t>
  </si>
  <si>
    <t>Prevención de errores y confirmación de acción</t>
  </si>
  <si>
    <t>Permitir al usuario eliminar productos de forma segura</t>
  </si>
  <si>
    <t>Pruebas de eliminación de productos</t>
  </si>
  <si>
    <t>Interfaz creada</t>
  </si>
  <si>
    <t>Testear eliminación en distintas condiciones</t>
  </si>
  <si>
    <t>Manejo de errores de red o permisos</t>
  </si>
  <si>
    <t>Validar correcta eliminación de productos</t>
  </si>
  <si>
    <t>Diseñar y crear funcionalidad para actualizar stock manualmente</t>
  </si>
  <si>
    <t>CRUD estable con eliminación funcional</t>
  </si>
  <si>
    <t>Crear lógica que permita modificar el stock desde la interfaz</t>
  </si>
  <si>
    <t>Validar coherencia entre stock actualizado y base de datos</t>
  </si>
  <si>
    <t>Implementar actualización manual del stock</t>
  </si>
  <si>
    <t>Implementar interfaz para actualizar stock manualmente</t>
  </si>
  <si>
    <t>Funcionalidad lógica de stock creada</t>
  </si>
  <si>
    <t>Diseñar vista y controles para actualizar stock</t>
  </si>
  <si>
    <t>Dificultades con el binding de datos en Vue</t>
  </si>
  <si>
    <t>Permitir al usuario modificar el stock manualmente</t>
  </si>
  <si>
    <t>Pruebas integrales del CRUD completo</t>
  </si>
  <si>
    <t>Stock manual funcionando</t>
  </si>
  <si>
    <t>Probar todas las funciones: crear, leer, editar, eliminar, actualizar stock</t>
  </si>
  <si>
    <t>Errores menores de sincronización</t>
  </si>
  <si>
    <t>Verificar que el CRUD esté completo y funcional</t>
  </si>
  <si>
    <t>Implementar cierre de sesión de seguridad y Logout manual</t>
  </si>
  <si>
    <t>CRUD completo probado</t>
  </si>
  <si>
    <t>Desarrollar y enlazar función de logout con Firebase Auth</t>
  </si>
  <si>
    <t>Configuración de rutas seguras</t>
  </si>
  <si>
    <t>Permitir cierre de sesión correcto y seguro</t>
  </si>
  <si>
    <t>Ajustes visuales y logica de roles</t>
  </si>
  <si>
    <t>Logout funcionando</t>
  </si>
  <si>
    <t>Revisar coherencia de estilos y navegación entre vistas de los roles Administrador y Operario</t>
  </si>
  <si>
    <t>Pequeñas inconsistencias visuales</t>
  </si>
  <si>
    <t>Mejorar la experiencia del usuario final</t>
  </si>
  <si>
    <t>Revisión de diseño con stakeholder</t>
  </si>
  <si>
    <t>Proyecto estable y con Logica de Roles (admin y Operador)</t>
  </si>
  <si>
    <t>Reunión para mostrar avance y recibir retroalimentación</t>
  </si>
  <si>
    <t>Retroalimentación pendiente</t>
  </si>
  <si>
    <t>Reunión con stakeholder</t>
  </si>
  <si>
    <t>Recibir comentarios y validar avances del sprint</t>
  </si>
  <si>
    <t>Incorporar mejoras según retroalimentación</t>
  </si>
  <si>
    <t>Feedback recibido</t>
  </si>
  <si>
    <t>Aplicar correcciones menores en diseño y flujo</t>
  </si>
  <si>
    <t>Ajustes visuales y de texto</t>
  </si>
  <si>
    <t>Finalizar Sprint 2 con las mejoras aplicadas</t>
  </si>
  <si>
    <t>Sprint Funcional 3</t>
  </si>
  <si>
    <t>Inicio del Sprint y planificación de tareas</t>
  </si>
  <si>
    <t>Se revisó el backlog del Sprint 2 y se definieron los objetivos del Sprint 3</t>
  </si>
  <si>
    <t>Asignar tareas para validaciones y mejoras visuales</t>
  </si>
  <si>
    <t>Planificar y distribuir tareas según prioridad</t>
  </si>
  <si>
    <t>Validaciones de formularios</t>
  </si>
  <si>
    <t>Se organizaron los formularios y se definieron campos a validar</t>
  </si>
  <si>
    <t>Implementar validaciones de campos vacíos y tipo de dato</t>
  </si>
  <si>
    <t>Errores de sintaxis en Vue</t>
  </si>
  <si>
    <t>Revisión conjunta de código</t>
  </si>
  <si>
    <t>Asegurar funcionamiento correcto de validaciones</t>
  </si>
  <si>
    <t>Mejoras visuales (UI/UX)</t>
  </si>
  <si>
    <t>Se avanzó en ajustes de color y estructura de componentes</t>
  </si>
  <si>
    <t>Aplicar nueva paleta de colores y revisar responsividad</t>
  </si>
  <si>
    <t>Diferencias en el CSS de Tailwind</t>
  </si>
  <si>
    <t>Revisión visual con Matías</t>
  </si>
  <si>
    <t>Unificar diseño visual y estructura del DOM</t>
  </si>
  <si>
    <t>Optimización de componentes (filtrado de productos)(UH13)</t>
  </si>
  <si>
    <t>Se revisaron funciones repetidas del CRUD</t>
  </si>
  <si>
    <t>Desarrollar sistema de filtrado de productos y reutilizacion de componentes</t>
  </si>
  <si>
    <t>Problemas con props y renderizado condicional</t>
  </si>
  <si>
    <t>Apoyo de Alexander en testeo</t>
  </si>
  <si>
    <t>Reducir redundancia y mejorar rendimiento</t>
  </si>
  <si>
    <t>Feedback visual y alertas</t>
  </si>
  <si>
    <t>Se creó la estructura básica para alertas de acción</t>
  </si>
  <si>
    <t>Implementar alertas y modales en eventos CRUD</t>
  </si>
  <si>
    <t>Configuración de librería de modales</t>
  </si>
  <si>
    <t>Revisión funcional en equipo</t>
  </si>
  <si>
    <t>Generar feedback claro al usuario</t>
  </si>
  <si>
    <t>Integración de módulo analítico</t>
  </si>
  <si>
    <t>Se investigó exportación JSON desde Firestore</t>
  </si>
  <si>
    <t>Desarrollar lógica de procesamiento de datos en Composable useProducts</t>
  </si>
  <si>
    <t>Problemas de reactividad en el cálculo de métricas</t>
  </si>
  <si>
    <t>Consulta documentación de API</t>
  </si>
  <si>
    <t>Obtener dataset desde Firestore</t>
  </si>
  <si>
    <t>Creación del dashboard analítico</t>
  </si>
  <si>
    <t>Se obtuvo dataset de prueba</t>
  </si>
  <si>
    <t>Implementar dashboard en Vue usando Chart.js/ApexCharts (librería JS)</t>
  </si>
  <si>
    <t>Ajustes en formato de datos</t>
  </si>
  <si>
    <t>Revisión con Alexander</t>
  </si>
  <si>
    <t>Generar gráficos de stock y rotación</t>
  </si>
  <si>
    <t>Pruebas del módulo analítico</t>
  </si>
  <si>
    <t>Se generaron gráficos de barras y tablas de datos</t>
  </si>
  <si>
    <t>Conectar dashboard con datos reales</t>
  </si>
  <si>
    <t>Errores en visualización</t>
  </si>
  <si>
    <t>Testeo conjunto</t>
  </si>
  <si>
    <t>Validar consistencia entre app y análisis</t>
  </si>
  <si>
    <t>Documentación técnica</t>
  </si>
  <si>
    <t>Se inició la redacción del informe técnico y comentarios en código</t>
  </si>
  <si>
    <t>Completar documentación de Composables y módulo analítico</t>
  </si>
  <si>
    <t>Tiempo limitado</t>
  </si>
  <si>
    <t>Revisión compartida en Drive</t>
  </si>
  <si>
    <t>Documentar componentes críticos</t>
  </si>
  <si>
    <t>Revisión visual y cierre parcial</t>
  </si>
  <si>
    <t>Se revisaron los ajustes de UI y funciones del CRUD</t>
  </si>
  <si>
    <t>Realizar pruebas generales</t>
  </si>
  <si>
    <t>Revisión final del sprint</t>
  </si>
  <si>
    <t>Verificar cumplimiento del 80% del Sprint 3</t>
  </si>
  <si>
    <t>Mejorar visualización del dashboard</t>
  </si>
  <si>
    <t>Se conectó dashboard con datos reales</t>
  </si>
  <si>
    <t>Ajustar diseño de gráficos y paleta de colores</t>
  </si>
  <si>
    <t>Diferencias de formato en datos de Firestore</t>
  </si>
  <si>
    <t>Revisión visual en conjunto</t>
  </si>
  <si>
    <t>Dejar dashboard con visualización coherente</t>
  </si>
  <si>
    <t>Validaciones avanzadas y mensajes dinámicos</t>
  </si>
  <si>
    <t>Se validaron campos básicos</t>
  </si>
  <si>
    <t>Implementar mensajes de error personalizados</t>
  </si>
  <si>
    <t>Dificultades con la librería de notificaciones</t>
  </si>
  <si>
    <t>Apoyo de Matías para integración</t>
  </si>
  <si>
    <t>Finalizar validaciones y feedback visual</t>
  </si>
  <si>
    <t>Pruebas integrales del sistema</t>
  </si>
  <si>
    <t>Se verificó la visualización de dashboard</t>
  </si>
  <si>
    <t>Ejecutar pruebas de CRUD y autenticación</t>
  </si>
  <si>
    <t>Errores intermitentes en conexión Firebase</t>
  </si>
  <si>
    <t>Testeo conjunto en entorno local</t>
  </si>
  <si>
    <t>Validar consistencia y rendimiento general</t>
  </si>
  <si>
    <t>Documentación técnica del sistema</t>
  </si>
  <si>
    <t>Se recopilaron capturas y código</t>
  </si>
  <si>
    <t>Completar documentación de componentes Vue y Logica</t>
  </si>
  <si>
    <t>Revisión colaborativa del documento</t>
  </si>
  <si>
    <t>Entregar documentación del sprint a revisión</t>
  </si>
  <si>
    <t>Revisión general y cierre del Sprint</t>
  </si>
  <si>
    <t>Se completó documentación técnica</t>
  </si>
  <si>
    <t>Revisar cumplimiento de historias de usuario y preparar retro</t>
  </si>
  <si>
    <t>Reunión de equipo</t>
  </si>
  <si>
    <t>Dejar el Sprint 3 listo para cierre y planificar Sprint 4</t>
  </si>
  <si>
    <t>Sprint Funcional 4</t>
  </si>
  <si>
    <t>Inicio del sprint y planificación general</t>
  </si>
  <si>
    <t>N/A (inicio de sprint)</t>
  </si>
  <si>
    <t>Definir objetivos, tareas y dividir trabajo</t>
  </si>
  <si>
    <t>Reunión inicial</t>
  </si>
  <si>
    <t>Planificar tareas y definir prioridades</t>
  </si>
  <si>
    <t>Crear estructura del módulo de reportes (UH14)</t>
  </si>
  <si>
    <t>Se definieron tareas</t>
  </si>
  <si>
    <t>Crear componentes base para reportes</t>
  </si>
  <si>
    <t>Integración con Firestore</t>
  </si>
  <si>
    <t>Coordinación con Alexander</t>
  </si>
  <si>
    <t>Base funcional del módulo de reportes</t>
  </si>
  <si>
    <t>Integrar datos reales en reportes</t>
  </si>
  <si>
    <t>Módulo de reportes creado</t>
  </si>
  <si>
    <t>Conectar Firestore con módulo de reportes</t>
  </si>
  <si>
    <t>Lectura inconsistente de datos</t>
  </si>
  <si>
    <t>Revisión en conjunto</t>
  </si>
  <si>
    <t>Reportes dinámicos con datos reales</t>
  </si>
  <si>
    <t>Implementar Impresión de Reportes (UH15)</t>
  </si>
  <si>
    <t>Datos integrados</t>
  </si>
  <si>
    <t xml:space="preserve">Se reemplazó la lógica de descarga por un botón de impresión nativa (window.print()). </t>
  </si>
  <si>
    <t>IMP-14: Estilos rotos al imprimir. El menú lateral (Sidebar) tapaba el contenido en la hoja impresa.</t>
  </si>
  <si>
    <t>Apoyo técnico</t>
  </si>
  <si>
    <t>Exportación de reportes funcional</t>
  </si>
  <si>
    <t>Ajuste de estilos de impresión</t>
  </si>
  <si>
    <t>Exportación básica creada</t>
  </si>
  <si>
    <t>Se configuraron las reglas @media print en Tailwind para ocultar botones, sidebar</t>
  </si>
  <si>
    <t>Ninguno. Impresión limpia y funcional.</t>
  </si>
  <si>
    <t>Revisión conjunta</t>
  </si>
  <si>
    <t>Impresion limpia validada</t>
  </si>
  <si>
    <t>Preparar dataset real y validar exportaciones avanzadas</t>
  </si>
  <si>
    <t>Pruebas básicas de exportación realizadas</t>
  </si>
  <si>
    <t>Limpiar/normalizar datos, generar dataset final para dashboard y validar exportación en distintos formatos</t>
  </si>
  <si>
    <t>Inconsistencias en formato de fecha y números</t>
  </si>
  <si>
    <t>Revisión con Alexander para normalizar datos</t>
  </si>
  <si>
    <t>Dataset listo y exportaciones validadas</t>
  </si>
  <si>
    <t>Diseñar e implementar dashboard con métricas (UH16)(UH7)</t>
  </si>
  <si>
    <t>Exportación funcional y dataset preparado</t>
  </si>
  <si>
    <t>Crear componentes gráficos del dashboard</t>
  </si>
  <si>
    <t>Selección de librerías</t>
  </si>
  <si>
    <t>Coordinación de diseño</t>
  </si>
  <si>
    <t>Dashboard con estructura inicial</t>
  </si>
  <si>
    <t>Conectar dashboard con Firestore</t>
  </si>
  <si>
    <t>Dashboard estructurado</t>
  </si>
  <si>
    <t>Mostrar métricas reales de stock y ventas</t>
  </si>
  <si>
    <t>Rendimiento de consultas</t>
  </si>
  <si>
    <t>Revisión de datos</t>
  </si>
  <si>
    <t>Dashboard operativo con métricas</t>
  </si>
  <si>
    <t>Refinar diseño y mejorar visualización</t>
  </si>
  <si>
    <t>Dashboard conectado</t>
  </si>
  <si>
    <t>Ajustar estilo, colores y estructura</t>
  </si>
  <si>
    <t>Errores visuales menores</t>
  </si>
  <si>
    <t>Apoyo visual de Alexander</t>
  </si>
  <si>
    <t>Dashboard finalizado visualmente</t>
  </si>
  <si>
    <t>Implementar configuración de umbral de stock (UH17)</t>
  </si>
  <si>
    <t>Dashboard completado</t>
  </si>
  <si>
    <t>Crear lógica para personalizar alertas de stock bajo</t>
  </si>
  <si>
    <t>Validación de entradas</t>
  </si>
  <si>
    <t>Configuración de umbral funcional</t>
  </si>
  <si>
    <t>Integrar alertas visuales según umbral configurado(UH6)</t>
  </si>
  <si>
    <t>Lógica creada</t>
  </si>
  <si>
    <t>Mostrar alertas dinámicas en la interfaz</t>
  </si>
  <si>
    <t>Problemas con eventos Vue</t>
  </si>
  <si>
    <t>Soporte técnico</t>
  </si>
  <si>
    <t>Alertas funcionales y visibles</t>
  </si>
  <si>
    <t>Pruebas integrales y corrección de errores</t>
  </si>
  <si>
    <t>Funcionalidades completadas</t>
  </si>
  <si>
    <t>Ejecutar pruebas completas del sistema</t>
  </si>
  <si>
    <t>Fallos menores</t>
  </si>
  <si>
    <t>Trabajo conjunto</t>
  </si>
  <si>
    <t>Validar todas las funcionalidades</t>
  </si>
  <si>
    <t>Documentar módulo de reportes y dashboard</t>
  </si>
  <si>
    <t>Pruebas realizadas</t>
  </si>
  <si>
    <t>Redactar documentación técnica y de usuario</t>
  </si>
  <si>
    <t>Coordinación para revisión</t>
  </si>
  <si>
    <t>Documentación técnica finalizada</t>
  </si>
  <si>
    <t>Preparar presentación final v1</t>
  </si>
  <si>
    <t>Documentación avanzada</t>
  </si>
  <si>
    <t>Crear diapositivas con evidencias y flujo del sistema</t>
  </si>
  <si>
    <t>Selección de contenido</t>
  </si>
  <si>
    <t>Presentación lista para revisión</t>
  </si>
  <si>
    <t>Cierre del Sprint y retroalimentación</t>
  </si>
  <si>
    <t>Presentación elaborada</t>
  </si>
  <si>
    <t>Realizar reunión de cierre y revisar backlog</t>
  </si>
  <si>
    <t>Sprint cerrado y preparado para entrega</t>
  </si>
  <si>
    <t>Hardening Sprint 5</t>
  </si>
  <si>
    <t>Configuración de entorno de pruebas</t>
  </si>
  <si>
    <t>Cierre del Sprint 4</t>
  </si>
  <si>
    <t>Instalar Cypress y Vitest. Configurar vite.config.js para soportar tests unitarios.</t>
  </si>
  <si>
    <t>Conflictos de dependencia iniciales con Vite.</t>
  </si>
  <si>
    <t>Reunión técnica</t>
  </si>
  <si>
    <t>Entorno de QA listo</t>
  </si>
  <si>
    <t>Pruebas Unitarias (Vitest)</t>
  </si>
  <si>
    <t>Entorno QA configurado</t>
  </si>
  <si>
    <t>Crear tests unitarios para useProducts.js y useAuth.js (validar lógica de negocio aislada).</t>
  </si>
  <si>
    <t>Pair Programming</t>
  </si>
  <si>
    <t>Cobertura unitaria de composables</t>
  </si>
  <si>
    <t>Pruebas E2E (Cypress) - Flujos Críticos</t>
  </si>
  <si>
    <t>Tests unitarios aprobados</t>
  </si>
  <si>
    <t>Crear specs en Cypress para Login, CRUD de productos y Logout.</t>
  </si>
  <si>
    <t>Error de timeout en Cypress al esperar redirección de Auth1.</t>
  </si>
  <si>
    <t>Reunión de debug</t>
  </si>
  <si>
    <t>Flujos críticos automatizados</t>
  </si>
  <si>
    <t>Corrección de Bugs y Estabilización</t>
  </si>
  <si>
    <t>Tests E2E ejecutados</t>
  </si>
  <si>
    <t>Corregir bug de permisos (Roles) detectado por tests. Ajustar reactividad de gráficos en Dashboard (sin Python)2.</t>
  </si>
  <si>
    <t>Revisión de código</t>
  </si>
  <si>
    <t>Sistema estable y sin bugs críticos</t>
  </si>
  <si>
    <t>Limpieza y Optimización</t>
  </si>
  <si>
    <t>Bugs corregidos</t>
  </si>
  <si>
    <t>Eliminar código muerto, console.log y optimizar imports. Revisar rendimiento con Lighthouse.</t>
  </si>
  <si>
    <t>Trabajo individual</t>
  </si>
  <si>
    <t>Código limpio (Clean Code)</t>
  </si>
  <si>
    <t>Documentación Técnica e informes finales</t>
  </si>
  <si>
    <t>Código optimizado</t>
  </si>
  <si>
    <t>Redactar Informe final y completar documentación técnica</t>
  </si>
  <si>
    <t>Falta diagrama actualizado de arquitectura.</t>
  </si>
  <si>
    <t>Trabajo colaborativo en Docs</t>
  </si>
  <si>
    <t>Borradores de informe y tecnicos listos</t>
  </si>
  <si>
    <t>Revisión de Documentación</t>
  </si>
  <si>
    <t>Borradores listos</t>
  </si>
  <si>
    <t>Revisión cruzada de informes y diagramas. Verificar coherencia con la versión final v1.0.</t>
  </si>
  <si>
    <t>Revisión de pares</t>
  </si>
  <si>
    <t>Documentación final aprobada</t>
  </si>
  <si>
    <t>Preparación de Release v1.0</t>
  </si>
  <si>
    <t>Documentación aprobada</t>
  </si>
  <si>
    <t>Generar build de producción (npm run build). Desplegar a Firebase Hosting.</t>
  </si>
  <si>
    <t>Error de caché en Firebase Hosting.</t>
  </si>
  <si>
    <t>Despliegue conjunto</t>
  </si>
  <si>
    <t>Sistema en Producción (v1.0)</t>
  </si>
  <si>
    <t>Smoke Test en Producción</t>
  </si>
  <si>
    <t>Despliegue realizado</t>
  </si>
  <si>
    <t>Verificar acceso, login y carga de datos en el dominio público.</t>
  </si>
  <si>
    <t>Todo operativo.</t>
  </si>
  <si>
    <t>Reunión de control</t>
  </si>
  <si>
    <t>Certificación de estabilidad</t>
  </si>
  <si>
    <t>Elaboración de Presentación Final</t>
  </si>
  <si>
    <t>Sistema certificado</t>
  </si>
  <si>
    <t>Crear diapositivas para la defensa del 5 de Diciembre. Seleccionar casos de prueba para demo.</t>
  </si>
  <si>
    <t>Diseño de slides</t>
  </si>
  <si>
    <t>Presentación visual lista</t>
  </si>
  <si>
    <t>Ensayo de Demo y Tiempos</t>
  </si>
  <si>
    <t>Presentación lista</t>
  </si>
  <si>
    <t>Simular defensa completa. Medir tiempos de la demo en vivo.</t>
  </si>
  <si>
    <t>Ajustar guion de la demo técnica.</t>
  </si>
  <si>
    <t>Ensayo general</t>
  </si>
  <si>
    <t>Equipo preparado para defensa</t>
  </si>
  <si>
    <t>Cierre del Proyecto (Hito)</t>
  </si>
  <si>
    <t>Ensayo exitoso</t>
  </si>
  <si>
    <t>Cierre administrativo del proyecto. Congelar repositorio.</t>
  </si>
  <si>
    <t>Ninguno. Proyecto terminado.</t>
  </si>
  <si>
    <t>Cierre de ciclo</t>
  </si>
  <si>
    <t>Entregables Finales Listos</t>
  </si>
  <si>
    <t>PREPARACION</t>
  </si>
  <si>
    <t>N/a</t>
  </si>
  <si>
    <t>PRESENTACION</t>
  </si>
  <si>
    <t>Scrumboard</t>
  </si>
  <si>
    <t>Historias (Stories)</t>
  </si>
  <si>
    <t>Por Hacer (To Do)</t>
  </si>
  <si>
    <t>En Progreso (Doing)</t>
  </si>
  <si>
    <t>Verificación (Testing)</t>
  </si>
  <si>
    <t>Terminado (Done)</t>
  </si>
  <si>
    <t>UH01 - Iniciar Sesión</t>
  </si>
  <si>
    <t>T1 - Configurar Firebase Auth y Proyecto Vite</t>
  </si>
  <si>
    <t>T2 - Diseñar UI básica para login</t>
  </si>
  <si>
    <t>Arquitectura Base</t>
  </si>
  <si>
    <t>T3 - Implementar estructura de base de datos</t>
  </si>
  <si>
    <t>T4 - Crear estructura inicial y rutas</t>
  </si>
  <si>
    <t>UH05 - Listar Productos</t>
  </si>
  <si>
    <t>T5 - Implementar listado de productos (Read)</t>
  </si>
  <si>
    <t>UH02/UH03 - Crear/Editar</t>
  </si>
  <si>
    <t>T6 - Implementar formularios de creación y edición</t>
  </si>
  <si>
    <t>UH04 - Eliminar Producto</t>
  </si>
  <si>
    <t>T9 - Endpoint eliminar producto</t>
  </si>
  <si>
    <t>T10 - UI Eliminar producto con confirmación</t>
  </si>
  <si>
    <t>UH08 - Stock Manual</t>
  </si>
  <si>
    <t>T11 - Lógica backend actualización stock</t>
  </si>
  <si>
    <t>T12 - Interfaz actualización rápida stock</t>
  </si>
  <si>
    <t>UH11 - Gestión Roles</t>
  </si>
  <si>
    <t>T13 - Implementar lógica Admin/User</t>
  </si>
  <si>
    <t>UH09 - Cerrar Sesión</t>
  </si>
  <si>
    <t>T14 - Implementar Logout</t>
  </si>
  <si>
    <t>UH10 - Recuperar Clave</t>
  </si>
  <si>
    <t>T15 - Implementar flujo de recuperación (Email)</t>
  </si>
  <si>
    <t>Calidad de Datos</t>
  </si>
  <si>
    <t>T16 - Validaciones de formularios y inputs</t>
  </si>
  <si>
    <t>UH12/UH13 - Filtros</t>
  </si>
  <si>
    <t>T18 - Filtros por categoría y búsqueda</t>
  </si>
  <si>
    <t>UX / UI</t>
  </si>
  <si>
    <t>T17 - Mejoras visuales y paleta de colores</t>
  </si>
  <si>
    <t>UH16 - Dashboard V1</t>
  </si>
  <si>
    <t>T19 - Lógica de métricas en Composable useProducts</t>
  </si>
  <si>
    <t>QA Parcial</t>
  </si>
  <si>
    <t>T20 - Pruebas integrales del sistema (Mitad proyecto)</t>
  </si>
  <si>
    <t>UH14 - Reportes Stock</t>
  </si>
  <si>
    <t>T21 - Estructura módulo de reportes</t>
  </si>
  <si>
    <t>UH15 - Impresión</t>
  </si>
  <si>
    <t>T23 - Implementar window.print() y estilos CSS</t>
  </si>
  <si>
    <t>UH16 - Dashboard Final</t>
  </si>
  <si>
    <t>T26 - Visualización de Gráficos (Ventas/Stock)</t>
  </si>
  <si>
    <t>UH17 - Umbrales</t>
  </si>
  <si>
    <t>T29 - Configuración de umbral de stock</t>
  </si>
  <si>
    <t>UH06 - Alertas</t>
  </si>
  <si>
    <t>T30 - Integrar alertas visuales dinámicas</t>
  </si>
  <si>
    <t>Documentación</t>
  </si>
  <si>
    <t>T32 - Documentación técnica de reportes</t>
  </si>
  <si>
    <t>HT-01 - QA y Bugs</t>
  </si>
  <si>
    <t>T35 - Ejecución Pruebas (Cypress/Vitest)</t>
  </si>
  <si>
    <t>T36 - Corrección Bug Roles y Bug Dashboard</t>
  </si>
  <si>
    <t>HT-02 - Documentación</t>
  </si>
  <si>
    <t>T37 - Limpieza y refactorización de código</t>
  </si>
  <si>
    <t>T38 - Redacción Informe fianl y Técnico</t>
  </si>
  <si>
    <t>HT-03 - Cierre</t>
  </si>
  <si>
    <t>T40 - Preparar Presentación Final (Se considera hasta el dia de la presentacion 05/12)</t>
  </si>
  <si>
    <t>T39 - Despliegue a Producción (v1.0)</t>
  </si>
  <si>
    <t>Sprint Planning</t>
  </si>
  <si>
    <r>
      <rPr>
        <rFont val="Arial"/>
        <b/>
        <color theme="1"/>
        <sz val="14.0"/>
      </rPr>
      <t xml:space="preserve">Sprint Planning 1: </t>
    </r>
    <r>
      <rPr>
        <rFont val="Arial"/>
        <b val="0"/>
        <color theme="1"/>
        <sz val="14.0"/>
      </rPr>
      <t>Arquitectura y Login</t>
    </r>
  </si>
  <si>
    <r>
      <rPr>
        <rFont val="Arial"/>
        <b/>
        <color theme="1"/>
        <sz val="12.0"/>
      </rPr>
      <t>Fecha:</t>
    </r>
    <r>
      <rPr>
        <rFont val="Arial"/>
        <color theme="1"/>
        <sz val="12.0"/>
      </rPr>
      <t xml:space="preserve"> 25/08/2025 | </t>
    </r>
    <r>
      <rPr>
        <rFont val="Arial"/>
        <b/>
        <color theme="1"/>
        <sz val="12.0"/>
      </rPr>
      <t xml:space="preserve">Meta del Sprint: </t>
    </r>
    <r>
      <rPr>
        <rFont val="Arial"/>
        <color theme="1"/>
        <sz val="12.0"/>
      </rPr>
      <t>Establecer la arquitectura base y asegurar el acceso al sistema.</t>
    </r>
  </si>
  <si>
    <t>ID Historia</t>
  </si>
  <si>
    <t>Historia de Usuario / Ítem</t>
  </si>
  <si>
    <t>Estimación</t>
  </si>
  <si>
    <t>Plan de Trabajo (Tareas Técnicas)</t>
  </si>
  <si>
    <t>Responsable</t>
  </si>
  <si>
    <t>N/A</t>
  </si>
  <si>
    <t>Configuración de Entorno</t>
  </si>
  <si>
    <t>T1: Configurar Proyecto Vite + Vue + Firebase.</t>
  </si>
  <si>
    <t>Matías</t>
  </si>
  <si>
    <t>Diseño de Base de Datos</t>
  </si>
  <si>
    <t>T3: Definir colecciones en Firestore (Modelo de Datos).</t>
  </si>
  <si>
    <t>UH01</t>
  </si>
  <si>
    <t>Iniciar sesión</t>
  </si>
  <si>
    <t>T2: Diseñar UI de Login.
T4: Conectar formulario con Firebase Auth.</t>
  </si>
  <si>
    <t>Alexander</t>
  </si>
  <si>
    <r>
      <rPr>
        <rFont val="Arial"/>
        <b/>
        <color theme="1"/>
        <sz val="14.0"/>
      </rPr>
      <t xml:space="preserve">Sprint Planning 2: </t>
    </r>
    <r>
      <rPr>
        <rFont val="Arial"/>
        <b val="0"/>
        <color theme="1"/>
        <sz val="14.0"/>
      </rPr>
      <t>CRUD, Roles y Seguridad</t>
    </r>
  </si>
  <si>
    <r>
      <rPr>
        <rFont val="Arial"/>
        <b/>
        <color theme="1"/>
        <sz val="12.0"/>
      </rPr>
      <t xml:space="preserve">Fecha: </t>
    </r>
    <r>
      <rPr>
        <rFont val="Arial"/>
        <b val="0"/>
        <color theme="1"/>
        <sz val="12.0"/>
      </rPr>
      <t xml:space="preserve">15/09/2025 </t>
    </r>
    <r>
      <rPr>
        <rFont val="Arial"/>
        <b/>
        <color theme="1"/>
        <sz val="12.0"/>
      </rPr>
      <t xml:space="preserve">| Meta del Sprint: </t>
    </r>
    <r>
      <rPr>
        <rFont val="Arial"/>
        <b val="0"/>
        <color theme="1"/>
        <sz val="12.0"/>
      </rPr>
      <t>Lograr la gestión completa de inventario y asegurar el sistema con roles.</t>
    </r>
  </si>
  <si>
    <t>UH05</t>
  </si>
  <si>
    <t>Ver listado de productos</t>
  </si>
  <si>
    <t>T5: Implementar lectura de colección (Read) y tabla.</t>
  </si>
  <si>
    <t>UH02</t>
  </si>
  <si>
    <t>Registrar producto</t>
  </si>
  <si>
    <t>T6: Crear formulario con validaciones básicas.</t>
  </si>
  <si>
    <t>UH03</t>
  </si>
  <si>
    <t>Editar producto</t>
  </si>
  <si>
    <t>T6: Reutilizar formulario para edición (Update).</t>
  </si>
  <si>
    <t>UH04</t>
  </si>
  <si>
    <t>Eliminar producto</t>
  </si>
  <si>
    <t>T9: Lógica de eliminación en Firestore (deleteDoc).
T10: Modal de confirmación UI.</t>
  </si>
  <si>
    <t>Ambos</t>
  </si>
  <si>
    <t>UH08</t>
  </si>
  <si>
    <t>Actualizar stock manual</t>
  </si>
  <si>
    <t>T11: Lógica en Composable (updateDoc).
T12: Interfaz rápida (+/-).</t>
  </si>
  <si>
    <t>UH11</t>
  </si>
  <si>
    <t>Gestionar Roles</t>
  </si>
  <si>
    <t>T13: Implementar campo 'role' y Guards de navegación.</t>
  </si>
  <si>
    <t>UH09</t>
  </si>
  <si>
    <t>Cerrar sesión</t>
  </si>
  <si>
    <t>T14: Función Logout y limpieza de estado.</t>
  </si>
  <si>
    <r>
      <rPr>
        <rFont val="Arial"/>
        <b/>
        <color theme="1"/>
        <sz val="14.0"/>
      </rPr>
      <t xml:space="preserve">Sprint Planning 3: </t>
    </r>
    <r>
      <rPr>
        <rFont val="Arial"/>
        <b val="0"/>
        <color theme="1"/>
        <sz val="14.0"/>
      </rPr>
      <t>UX, Validaciones y Dashboard Inicial</t>
    </r>
  </si>
  <si>
    <r>
      <rPr>
        <rFont val="Arial"/>
        <b/>
        <color theme="1"/>
        <sz val="12.0"/>
      </rPr>
      <t xml:space="preserve">Fecha: </t>
    </r>
    <r>
      <rPr>
        <rFont val="Arial"/>
        <b val="0"/>
        <color theme="1"/>
        <sz val="12.0"/>
      </rPr>
      <t>06/10/2025</t>
    </r>
    <r>
      <rPr>
        <rFont val="Arial"/>
        <b/>
        <color theme="1"/>
        <sz val="12.0"/>
      </rPr>
      <t xml:space="preserve"> | Meta del Sprint: </t>
    </r>
    <r>
      <rPr>
        <rFont val="Arial"/>
        <b val="0"/>
        <color theme="1"/>
        <sz val="12.0"/>
      </rPr>
      <t>Mejorar la usabilidad, validar datos y preparar la analítica.</t>
    </r>
  </si>
  <si>
    <t>UH10</t>
  </si>
  <si>
    <t>Recuperar Contraseña</t>
  </si>
  <si>
    <t>T15: Implementar flujo "Forgot Password" con Firebase.</t>
  </si>
  <si>
    <t>Calidad</t>
  </si>
  <si>
    <t>Validaciones de Formularios</t>
  </si>
  <si>
    <t>T16: Reglas de validación para inputs vacíos/formatos.</t>
  </si>
  <si>
    <t>UX</t>
  </si>
  <si>
    <t>Mejoras Visuales</t>
  </si>
  <si>
    <t>T17: Unificar paleta de colores y estilos CSS.</t>
  </si>
  <si>
    <t>UH12/13</t>
  </si>
  <si>
    <t>Filtros y Búsqueda</t>
  </si>
  <si>
    <t>T18: Crear Computed Properties para filtrar listas.</t>
  </si>
  <si>
    <t>UH16</t>
  </si>
  <si>
    <t>Dashboard (Lógica)</t>
  </si>
  <si>
    <t>T19: Implementar lógica de métricas en Composable useProducts.</t>
  </si>
  <si>
    <t>QA</t>
  </si>
  <si>
    <t>Pruebas de Medio Término</t>
  </si>
  <si>
    <t>T20: Ejecución de pruebas integrales del sistema actual.</t>
  </si>
  <si>
    <r>
      <rPr>
        <rFont val="Arial"/>
        <b/>
        <color theme="1"/>
        <sz val="14.0"/>
      </rPr>
      <t xml:space="preserve">Sprint Planning 4: </t>
    </r>
    <r>
      <rPr>
        <rFont val="Arial"/>
        <b val="0"/>
        <color theme="1"/>
        <sz val="14.0"/>
      </rPr>
      <t>Reportes, Alertas y Dashboard Final</t>
    </r>
  </si>
  <si>
    <r>
      <rPr>
        <rFont val="Arial"/>
        <b/>
        <color theme="1"/>
        <sz val="12.0"/>
      </rPr>
      <t xml:space="preserve">Fecha: </t>
    </r>
    <r>
      <rPr>
        <rFont val="Arial"/>
        <b val="0"/>
        <color theme="1"/>
        <sz val="12.0"/>
      </rPr>
      <t>27/10/2025</t>
    </r>
    <r>
      <rPr>
        <rFont val="Arial"/>
        <b/>
        <color theme="1"/>
        <sz val="12.0"/>
      </rPr>
      <t xml:space="preserve"> | Meta del Sprint: </t>
    </r>
    <r>
      <rPr>
        <rFont val="Arial"/>
        <b val="0"/>
        <color theme="1"/>
        <sz val="12.0"/>
      </rPr>
      <t>Proveer inteligencia de negocios y capacidades de exportación.</t>
    </r>
  </si>
  <si>
    <t>UH14</t>
  </si>
  <si>
    <t>Reportes de Stock</t>
  </si>
  <si>
    <t>T21: Crear vista tabular de reportes.</t>
  </si>
  <si>
    <t>UH15</t>
  </si>
  <si>
    <t>Imprimir Reporte (Vista)</t>
  </si>
  <si>
    <t>T23: Implementar botón con evento window.print() y ajustar estilos CSS (@media print) para ocultar navegación.</t>
  </si>
  <si>
    <t>Dashboard (Visual)</t>
  </si>
  <si>
    <t>T26: Integrar librería gráfica (Chart.js/Apex) en Vue.</t>
  </si>
  <si>
    <t>UH17</t>
  </si>
  <si>
    <t>Configurar Umbral</t>
  </si>
  <si>
    <t>T29: Crear formulario de configuración de límites.</t>
  </si>
  <si>
    <t>UH06</t>
  </si>
  <si>
    <t>Alertas Visuales</t>
  </si>
  <si>
    <t>T30: Lógica visual (Rojo/Alerta) según umbral.</t>
  </si>
  <si>
    <t>Doc</t>
  </si>
  <si>
    <t>Documentación Reportes</t>
  </si>
  <si>
    <t>T32: Redactar documentación técnica del módulo.</t>
  </si>
  <si>
    <r>
      <rPr>
        <rFont val="Arial"/>
        <b/>
        <color theme="1"/>
        <sz val="14.0"/>
      </rPr>
      <t xml:space="preserve">Sprint Planning 5: </t>
    </r>
    <r>
      <rPr>
        <rFont val="Arial"/>
        <b val="0"/>
        <color theme="1"/>
        <sz val="14.0"/>
      </rPr>
      <t>Hardening (Estabilización y Cierre)</t>
    </r>
  </si>
  <si>
    <r>
      <rPr>
        <rFont val="Arial"/>
        <b/>
        <color theme="1"/>
        <sz val="14.0"/>
      </rPr>
      <t xml:space="preserve">Fecha: </t>
    </r>
    <r>
      <rPr>
        <rFont val="Arial"/>
        <b val="0"/>
        <color theme="1"/>
        <sz val="14.0"/>
      </rPr>
      <t>17/11/2025</t>
    </r>
    <r>
      <rPr>
        <rFont val="Arial"/>
        <b/>
        <color theme="1"/>
        <sz val="14.0"/>
      </rPr>
      <t xml:space="preserve"> | Meta del Sprint: </t>
    </r>
    <r>
      <rPr>
        <rFont val="Arial"/>
        <b val="0"/>
        <color theme="1"/>
        <sz val="14.0"/>
      </rPr>
      <t>Asegurar la calidad, documentar y desplegar la versión 1.0.</t>
    </r>
  </si>
  <si>
    <t>Historia Técnica (Ítem)</t>
  </si>
  <si>
    <t>HT-01</t>
  </si>
  <si>
    <t>Pruebas Integrales (QA)</t>
  </si>
  <si>
    <t>T35: Ejecución de pruebas E2E (Cypress) y Unitarias (Vitest).
T36: Bug Fixing (Roles/Dashboard).</t>
  </si>
  <si>
    <t>HT-02</t>
  </si>
  <si>
    <t>Documentación Final</t>
  </si>
  <si>
    <t>T37: Limpieza de código.
T38: Informes y Técnico(Diagrama de Colecciones/Modelo NoSQL).</t>
  </si>
  <si>
    <t>HT-03</t>
  </si>
  <si>
    <t>Despliegue y Entrega</t>
  </si>
  <si>
    <t>T39: Build y Deploy a Firebase Hosting.
T40: Preparar Demo Final.</t>
  </si>
  <si>
    <t>Burndown Chart</t>
  </si>
  <si>
    <t>Fecha de Corte</t>
  </si>
  <si>
    <t>Semana / Fase</t>
  </si>
  <si>
    <t>Puntos Quemados</t>
  </si>
  <si>
    <t>Restante REAL</t>
  </si>
  <si>
    <t>Restante IDEAL</t>
  </si>
  <si>
    <t>Inicio Proyecto</t>
  </si>
  <si>
    <t>Semana 1 (Arq)</t>
  </si>
  <si>
    <t>Semana 2 (Auth)</t>
  </si>
  <si>
    <t>Semana 3 (Login)</t>
  </si>
  <si>
    <t>Semana 4 (CRUD 1)</t>
  </si>
  <si>
    <t>Semana 5 (CRUD 2)</t>
  </si>
  <si>
    <t>Semana 6 (Roles/Sec)</t>
  </si>
  <si>
    <t>Semana 7 (UX/Filtros)</t>
  </si>
  <si>
    <t>Semana 8 (Logica Vue/Componsables)</t>
  </si>
  <si>
    <t>Semana 9 (Dash V1)</t>
  </si>
  <si>
    <t>Semana 10 (Reportes)</t>
  </si>
  <si>
    <t>Semana 11 (Ventas)</t>
  </si>
  <si>
    <t>Semana 12 (Alertas)</t>
  </si>
  <si>
    <t>Semana 13 (QA/Bugs)</t>
  </si>
  <si>
    <t>Semana 14 (Docs)</t>
  </si>
  <si>
    <t>Fin Proyecto (Release)</t>
  </si>
  <si>
    <t>Impediment log</t>
  </si>
  <si>
    <t>ID</t>
  </si>
  <si>
    <t>Fecha Reporte</t>
  </si>
  <si>
    <t>Descripción del Impedimento</t>
  </si>
  <si>
    <t>Impacto (Alto/Medio/Bajo)</t>
  </si>
  <si>
    <t>Estado</t>
  </si>
  <si>
    <t>Fecha Resolución</t>
  </si>
  <si>
    <t>Solución Aplicada</t>
  </si>
  <si>
    <t>IMP-01</t>
  </si>
  <si>
    <t>Desconocimiento de tecnologías gratuitas para la arquitectura.</t>
  </si>
  <si>
    <t>Alto</t>
  </si>
  <si>
    <t>Sprint 1</t>
  </si>
  <si>
    <t>Cerrado</t>
  </si>
  <si>
    <t>Investigación y selección del stack: Vite + Vue + Firebase.</t>
  </si>
  <si>
    <t>IMP-02</t>
  </si>
  <si>
    <t>Curva de aprendizaje inicial con Vite y Vue (desconocimiento técnico).</t>
  </si>
  <si>
    <t>Medio</t>
  </si>
  <si>
    <t>Autoaprendizaje, revisión de documentación oficial y práctica inicial.</t>
  </si>
  <si>
    <t>IMP-03</t>
  </si>
  <si>
    <t>Dificultad en la integración de Firebase Authentication.</t>
  </si>
  <si>
    <t>Configuración correcta de variables de entorno y lectura de API docs.</t>
  </si>
  <si>
    <t>IMP-04</t>
  </si>
  <si>
    <t>Fallos en el "Data Binding" de Vue al actualizar stock manual.</t>
  </si>
  <si>
    <t>Sprint 2</t>
  </si>
  <si>
    <t>Corrección de la reactividad en los componentes del formulario.</t>
  </si>
  <si>
    <t>IMP-05</t>
  </si>
  <si>
    <t>Errores menores de sincronización de datos en tiempo real (Firestore).</t>
  </si>
  <si>
    <t>Ajuste en los "listeners" de Firestore para actualizaciones en vivo.</t>
  </si>
  <si>
    <t>IMP-06</t>
  </si>
  <si>
    <t>Bloqueo: Retroalimentación pendiente del Stakeholder para cerrar diseño.</t>
  </si>
  <si>
    <t>Se realizó la reunión y se recibieron las correcciones para aplicar inmediatamente.</t>
  </si>
  <si>
    <t>IMP-07</t>
  </si>
  <si>
    <t>Errores de sintaxis en Vue al implementar validaciones complejas.</t>
  </si>
  <si>
    <t>Bajo</t>
  </si>
  <si>
    <t>Sprint 3</t>
  </si>
  <si>
    <t>Revisión de código en pareja (Pair Programming) y corrección.</t>
  </si>
  <si>
    <t>IMP-08</t>
  </si>
  <si>
    <t>Inconsistencias visuales en CSS (Tailwind) entre componentes.</t>
  </si>
  <si>
    <t>Unificación de clases y paleta de colores en archivo de configuración.</t>
  </si>
  <si>
    <t>IMP-09</t>
  </si>
  <si>
    <t>Problemas con Props y renderizado condicional en filtros (UH13).</t>
  </si>
  <si>
    <t>Refactorización de componentes padres e hijos para pasar datos correctamente.</t>
  </si>
  <si>
    <t>IMP-10</t>
  </si>
  <si>
    <t>Desincronización de gráficos en el Dashboard: Los gráficos no reaccionaban automáticamente a los cambios en Firestore.</t>
  </si>
  <si>
    <t>Se implementó un watchEffect en Vue para recalcular las métricas cada vez que el composable useProducts actualizaba el estado.</t>
  </si>
  <si>
    <t>IMP-11</t>
  </si>
  <si>
    <t>Tiempo limitado para documentación técnica del Sprint 3.</t>
  </si>
  <si>
    <t>Se priorizó documentación de componentes críticos y trabajo colaborativo.</t>
  </si>
  <si>
    <t>IMP-12</t>
  </si>
  <si>
    <t>Errores intermitentes de red al conectar con Firebase en pruebas.</t>
  </si>
  <si>
    <t>Validación de conexión a internet y manejo de errores offline en la App.</t>
  </si>
  <si>
    <t>IMP-13</t>
  </si>
  <si>
    <t>Lectura inconsistente de datos para los reportes.</t>
  </si>
  <si>
    <t>Sprint 4</t>
  </si>
  <si>
    <t>Normalización de la estructura de datos en la colección de Firestore.</t>
  </si>
  <si>
    <t>IMP-14</t>
  </si>
  <si>
    <t>Estilos rotos al imprimir: Al usar la función de impresión nativa, el Sidebar y los botones de acción aparecían en la hoja, tapando el reporte.</t>
  </si>
  <si>
    <t>Se aplicaron clases print:hidden de Tailwind y ajustes de layout en @media print.</t>
  </si>
  <si>
    <t>IMP-15</t>
  </si>
  <si>
    <t>Inconsistencias en formato de fechas y números en el Dataset.</t>
  </si>
  <si>
    <t>Creación de función utilitaria en JS para formatear datos antes de graficar.</t>
  </si>
  <si>
    <t>IMP-16</t>
  </si>
  <si>
    <t>Problemas con eventos Vue para mostrar alertas dinámicas.</t>
  </si>
  <si>
    <t>Depuración de eventos y corrección de lógica en el componente de alerta.</t>
  </si>
  <si>
    <t>IMP-17</t>
  </si>
  <si>
    <t>Fallo en pruebas E2E con Cypress: El test de "Login" fallaba por timeout al esperar la redirección de Firebase Auth.</t>
  </si>
  <si>
    <t>Crítico</t>
  </si>
  <si>
    <t>Sprint 5</t>
  </si>
  <si>
    <t>Se aumentó el defaultCommandTimeout en la configuración de Cypress y se usaron interceptores para esperar la respuesta de red.</t>
  </si>
  <si>
    <t>IMP-18</t>
  </si>
  <si>
    <t>Rendimiento bajo: El Dashboard tardaba en cargar con muchos datos.</t>
  </si>
  <si>
    <t>Optimización de índices en Firestore y limitación de consulta inicial.</t>
  </si>
  <si>
    <t>Epicas</t>
  </si>
  <si>
    <t>Cod. Épica</t>
  </si>
  <si>
    <t>Nombre de la Épica</t>
  </si>
  <si>
    <t>Historias Asociadas</t>
  </si>
  <si>
    <t>Valor para el Negocio</t>
  </si>
  <si>
    <t>Definition of Done</t>
  </si>
  <si>
    <t>EP01</t>
  </si>
  <si>
    <t>Autenticación y Gestión de Acceso</t>
  </si>
  <si>
    <t>Garantizar un acceso seguro y controlado al sistema, diferenciando entre roles de administrador y operario.</t>
  </si>
  <si>
    <t>UH01, UH09, UH10, UH11</t>
  </si>
  <si>
    <t>Aumenta la seguridad, protege la integridad de los datos y asegura que cada usuario vea solo lo que le corresponde.</t>
  </si>
  <si>
    <t>-Login con Firebase Auth funcional.
-Recuperación de contraseña y Logout probados.
-Roles (Admin/User) validados con Guards en Vue Router.
-Pruebas E2E de login exitosas.</t>
  </si>
  <si>
    <t>EP02</t>
  </si>
  <si>
    <t>Gestión de Productos (Inventario)</t>
  </si>
  <si>
    <t>Permitir la administración completa del ciclo de vida de los productos (Crear, Leer, Editar, Eliminar) con sincronización en tiempo real.</t>
  </si>
  <si>
    <t>UH02, UH03, UH04, UH05, UH12, UH13</t>
  </si>
  <si>
    <t>Mejora la eficiencia operativa, reduce errores de inventario y permite encontrar productos rápidamente mediante filtros.</t>
  </si>
  <si>
    <t>-CRUD completo conectado a Firestore.
-Búsqueda y filtrado reactivos implementados.
-Validaciones de formularios activas.
-Pruebas unitarias de composables aprobadas.</t>
  </si>
  <si>
    <t>EP03</t>
  </si>
  <si>
    <t>Control de Stock y Alertas</t>
  </si>
  <si>
    <t>Monitorear y controlar los niveles de inventario para prevenir el desabastecimiento mediante alertas visuales y actualizaciones rápidas.</t>
  </si>
  <si>
    <t>UH06, UH08, UH17</t>
  </si>
  <si>
    <t>Evita quiebres de stock, agiliza la actualización de cantidades y mejora la planificación de reposición.</t>
  </si>
  <si>
    <t>-Actualización de stock manual funcional.
-Configuración de umbrales por producto guardada en BD.
-Alertas visuales dinámicas activas.
-Lógica de negocio probada.</t>
  </si>
  <si>
    <t>EP04</t>
  </si>
  <si>
    <t>Inteligencia de Negocios y Reportes</t>
  </si>
  <si>
    <t>Generar visualizaciones gráficas y reportes imprimibles/exportables para el análisis estratégico de ventas y stock.</t>
  </si>
  <si>
    <t>UH07, UH14, UH15, UH16</t>
  </si>
  <si>
    <t>Facilita la toma de decisiones basada en datos reales, permitiendo compartir información externa</t>
  </si>
  <si>
    <t>-Dashboard con gráficos (Chart.js/Apex) renderizando datos reales.
-funcionalidad de impresión de reportes.
-Reportes de Ventas y Stock coherentes con la BD.</t>
  </si>
  <si>
    <t>EP05</t>
  </si>
  <si>
    <t>Calidad, Documentación y Despliegue</t>
  </si>
  <si>
    <t>Asegurar la estabilidad del sistema, la transferencia de conocimiento y la disponibilidad en producción.</t>
  </si>
  <si>
    <t>HT-01, HT-02, HT-03</t>
  </si>
  <si>
    <t>Garantiza un producto final libre de errores críticos, documentado para futuros desarrolladores y accesible públicamente.</t>
  </si>
  <si>
    <t>-Suite de pruebas (Cypress/Vitest) ejecutada sin fallos.
-Manuales de Usuario y Técnico entregados.
-Despliegue exitoso en Firebase Hosting (v1.0).</t>
  </si>
  <si>
    <t>Sprint Backlog</t>
  </si>
  <si>
    <t>Historia de Usuario</t>
  </si>
  <si>
    <t>Valor para cliente</t>
  </si>
  <si>
    <t>Documento con el Backlog normal</t>
  </si>
  <si>
    <t>Como usuario, quiero iniciar sesión para acceder al sistema</t>
  </si>
  <si>
    <t>Alta</t>
  </si>
  <si>
    <t>Terminado</t>
  </si>
  <si>
    <t>¿Por qué existe? Es el listado maestro de todo lo que se quiere en el producto, sin orden rígido.</t>
  </si>
  <si>
    <t>Como usuario, quiero registrar un nuevo producto</t>
  </si>
  <si>
    <t>En qué pensar: “Aquí vive el universo de necesidades, desde grandes hasta chicas.”</t>
  </si>
  <si>
    <t>Como usuario, quiero editar un producto existente</t>
  </si>
  <si>
    <t>Sirve para: tener trazabilidad de TODO lo que se podría hacer, aunque aún no esté pulido o priorizado.</t>
  </si>
  <si>
    <t>Como usuario, quiero eliminar un producto</t>
  </si>
  <si>
    <t>Como usuario, quiero ver el listado de productos</t>
  </si>
  <si>
    <t>Como usuario, quiero actualizar stock manualmente</t>
  </si>
  <si>
    <t>Como usuario, quiero cerrar sesión para proteger mi cuenta</t>
  </si>
  <si>
    <t>Media</t>
  </si>
  <si>
    <t>Como administrador, quiero gestionar roles y permisos</t>
  </si>
  <si>
    <t>UH12</t>
  </si>
  <si>
    <t>Como usuario, quiero buscar un producto por nombre o código</t>
  </si>
  <si>
    <t>UH13</t>
  </si>
  <si>
    <t>Como usuario, quiero filtrar productos por categoría</t>
  </si>
  <si>
    <t>Como usuario, quiero recuperar mi contraseña</t>
  </si>
  <si>
    <t>Como administrador, quiero visualizar dashboard con métricas</t>
  </si>
  <si>
    <t>Como usuario, quiero generar reportes de stock</t>
  </si>
  <si>
    <t>UH07</t>
  </si>
  <si>
    <t>Como usuario, quiero generar reportes de ventas</t>
  </si>
  <si>
    <t>Como usuario, quiero imprimir/exportar la vista actual de reportes dashboard</t>
  </si>
  <si>
    <t>Como usuario, quiero configurar umbral de stock bajo</t>
  </si>
  <si>
    <t>Como usuario, quiero recibir alertas de stock bajo</t>
  </si>
  <si>
    <t>Historia Técnica: Pruebas Integrales (Cypress/Vitest) y Bug Fixing</t>
  </si>
  <si>
    <t>Historia Técnica: Documentación Técnica e informes finales</t>
  </si>
  <si>
    <t>Historia Técnica: Despliegue Final (Release v1.0) y Demo</t>
  </si>
  <si>
    <t>Backlog priorizado</t>
  </si>
  <si>
    <t>Valor</t>
  </si>
  <si>
    <t>Complejidad [1-10]</t>
  </si>
  <si>
    <t>Prioridad [1-10]</t>
  </si>
  <si>
    <t>Justificación / Sprint</t>
  </si>
  <si>
    <t>Documento con el Backlog priorizado</t>
  </si>
  <si>
    <t>Iniciar sesión (Login)</t>
  </si>
  <si>
    <t>Sprint 1 (Base del sistema)</t>
  </si>
  <si>
    <t>¿Por qué existe? Para enfocar esfuerzos en lo más valioso primero.</t>
  </si>
  <si>
    <t>Registrar un nuevo producto</t>
  </si>
  <si>
    <t>Sprint 2 (Core CRUD)</t>
  </si>
  <si>
    <t>En qué pensar: “Si mañana solo pudiéramos trabajar en 3 cosas, ¿cuáles serían?”</t>
  </si>
  <si>
    <t>Ver el listado de productos</t>
  </si>
  <si>
    <t>Sirve para: decidir qué entra a los próximos sprints y mostrar qué es lo más importante ahora.</t>
  </si>
  <si>
    <t>Gestionar roles y permisos</t>
  </si>
  <si>
    <t>Sprint 2 (Adelantado por seguridad)</t>
  </si>
  <si>
    <t>Editar un producto existente</t>
  </si>
  <si>
    <t>Eliminar un producto</t>
  </si>
  <si>
    <t>Cerrar sesión (Logout)</t>
  </si>
  <si>
    <t>Sprint 2 (Cierre de seguridad)</t>
  </si>
  <si>
    <t>Actualizar stock manualmente</t>
  </si>
  <si>
    <t>Recuperar contraseña</t>
  </si>
  <si>
    <t>Sprint 3 (Adelantado)</t>
  </si>
  <si>
    <t>Buscar producto por nombre</t>
  </si>
  <si>
    <t>Sprint 3 (Mejora UX)</t>
  </si>
  <si>
    <t>Filtrar productos por categoría</t>
  </si>
  <si>
    <t>Dashboard con métricas</t>
  </si>
  <si>
    <t>Sprint 3 (Inicio Lógica Dashboard)</t>
  </si>
  <si>
    <t>Generar reportes de stock</t>
  </si>
  <si>
    <t>Generar reportes de ventas</t>
  </si>
  <si>
    <t>Imprimir vista de reportes</t>
  </si>
  <si>
    <t>Configurar umbral de stock</t>
  </si>
  <si>
    <t>Alertas de stock bajo</t>
  </si>
  <si>
    <t>Sprint 4 (Finalización)</t>
  </si>
  <si>
    <t>Pruebas Integrales y QA</t>
  </si>
  <si>
    <t>Sprint 5 (Hardening)</t>
  </si>
  <si>
    <t>Documentación Técnica/Usuario</t>
  </si>
  <si>
    <t>Despliegue y Demo Final</t>
  </si>
  <si>
    <t>Sprint 5 (Cierre)</t>
  </si>
  <si>
    <t>Refinamiento del Backlog</t>
  </si>
  <si>
    <t>Detalle / Criterios de Aceptación</t>
  </si>
  <si>
    <t>Complejidad (1-10)</t>
  </si>
  <si>
    <t>Prioridad (1-10)</t>
  </si>
  <si>
    <t>Validar credenciales contra Firebase Auth, manejo de errores (pass incorrecta), redirigir al Dashboard, persistencia de sesión.</t>
  </si>
  <si>
    <t>Listo para Sprint</t>
  </si>
  <si>
    <t>Registrar nuevo producto</t>
  </si>
  <si>
    <t>Formulario validado (campos obligatorios), selección de categoría, input numérico para precio/stock, feedback visual (Toast) al guardar.</t>
  </si>
  <si>
    <t>Renderizado de lista reactiva, visualización de stock y precio formateado, manejo de estado de carga (loading spinner).</t>
  </si>
  <si>
    <t>Bloqueo de rutas (Guard) para no-admin, ocultar botones de edición/borrado en la vista según rol (authStore.role), atributo 'role' en BD.</t>
  </si>
  <si>
    <t>Editar producto existente</t>
  </si>
  <si>
    <t>Cargar datos actuales en formulario, validación de cambios, actualización en tiempo real en la vista (Two-way Binding).</t>
  </si>
  <si>
    <t>Modal de confirmación (Componente ConfirmModal), eliminación en Firestore, actualización automática del listado.</t>
  </si>
  <si>
    <t>Limpieza de token de sesión, redirección inmediata a Login, bloqueo de navegación hacia atrás.</t>
  </si>
  <si>
    <t>Botones (+/-) en listado o input directo, validación de no negativos, actualización atómica en Firestore.</t>
  </si>
  <si>
    <t>Input de email, validación de formato, disparo de correo de reset (Firebase Auth), manejo de errores de envío.</t>
  </si>
  <si>
    <t>Buscar producto</t>
  </si>
  <si>
    <t>Filtro en tiempo real (Computed Property), búsqueda por nombre o código parcial, mensaje "No hay resultados".</t>
  </si>
  <si>
    <t>Filtrar por categoría</t>
  </si>
  <si>
    <t>Dropdown de categorías dinámico, filtrado reactivo del listado principal, opción "Ver todas".</t>
  </si>
  <si>
    <t>Dashboard métricas</t>
  </si>
  <si>
    <t>Gráficos (Chart.js/ApexCharts) de stock y ventas, tarjetas de resumen (KPIs), carga de datos desde Composables.</t>
  </si>
  <si>
    <t>Reportes de stock</t>
  </si>
  <si>
    <t>Vista tabular dedicada, cálculo de totales en cliente, indicadores visuales de stock crítico.</t>
  </si>
  <si>
    <t>Reportes de ventas</t>
  </si>
  <si>
    <t>Visualización de historial de transacciones, filtro por rango de fechas, sumatoria de ingresos.</t>
  </si>
  <si>
    <t>Ocultar menú lateral al imprimir</t>
  </si>
  <si>
    <t>Configurar umbral stock</t>
  </si>
  <si>
    <t>Formulario de configuración global o por producto, persistencia de preferencia en BD.</t>
  </si>
  <si>
    <t>Comparación lógica (Stock vs Umbral), indicador visual (Badge rojo/Icono) en listado y dashboard.</t>
  </si>
  <si>
    <t>Ejecución de suite E2E (Cypress) para flujos críticos y Unitarias (Vitest) para composables. Reporte de bugs.</t>
  </si>
  <si>
    <t>Documentación Técnica</t>
  </si>
  <si>
    <t>Afinamiento de documentos y revision general, Diagrama de Arquitectura final.</t>
  </si>
  <si>
    <t>Despliegue y Cierre</t>
  </si>
  <si>
    <t>Build de producción (Vite), despliegue en Firebase Hosting, limpieza de datos de prueba, script de Demo.</t>
  </si>
  <si>
    <t>Refinamiento del Sprint</t>
  </si>
  <si>
    <t>Historias seleccionadas</t>
  </si>
  <si>
    <t>Tareas técnicas</t>
  </si>
  <si>
    <t>Apoyo necesario</t>
  </si>
  <si>
    <t>Fecha inicio Sprint</t>
  </si>
  <si>
    <t>Fecha término Sprint</t>
  </si>
  <si>
    <t>Construir arquitectura base, entorno de desarrollo y autenticación.</t>
  </si>
  <si>
    <t>Configurar proyecto Vite + Vue + Firebase. Implementar Auth (Login). Diseño de Modelo de Datos en Firestore.</t>
  </si>
  <si>
    <t>Documentación oficial de Firebase y Vite.</t>
  </si>
  <si>
    <t>Completar la gestión de inventario (CRUD), roles y seguridad.</t>
  </si>
  <si>
    <t>UH02, UH03, UH04, UH05, UH08, UH09, UH11</t>
  </si>
  <si>
    <t>Desarrollo de vistas de Creación/Edición/Listado. Implementar lógica de Roles (Admin/User). Lógica de eliminación en Firestore.</t>
  </si>
  <si>
    <t>Revisión de diseño con stakeholder. Feedback sobre flujo de roles.</t>
  </si>
  <si>
    <t>Optimizar UX/UI, validaciones avanzadas y recuperación de acceso.</t>
  </si>
  <si>
    <t>UH10, UH12, UH13, UH16</t>
  </si>
  <si>
    <t>Flujo de recuperación de contraseña (UH10). Filtros reactivos y búsqueda. Lógica de métricas en Composables (Vue). Validaciones.</t>
  </si>
  <si>
    <t>Pruebas de usabilidad. Documentación de librerías de gráficos (Chart.js/Apex).</t>
  </si>
  <si>
    <t>Implementar módulo de reportes, alertas y métricas finales.</t>
  </si>
  <si>
    <t>UH06, UH07, UH14, UH15, UH17</t>
  </si>
  <si>
    <t>Imprimir vista de reportes dashboard. Configuración de umbrales y alertas visuales. Renderizado final de Dashboard.</t>
  </si>
  <si>
    <t>Ajustes de estilos de impresión (@media print). Revisión de formatos visuales.</t>
  </si>
  <si>
    <t>Sprint Hardening 5</t>
  </si>
  <si>
    <t>Estabilizar el sistema (QA), documentar y desplegar versión v1.0.</t>
  </si>
  <si>
    <t>Ejecución de Pruebas E2E (Cypress) y Unitarias (Vitest). Corrección de Bugs. Documentacion final.Despliegue en Firebase Hosting.</t>
  </si>
  <si>
    <t>Feedback final del Stakeholder. Validación académica/técnica.</t>
  </si>
  <si>
    <t>Sprint Priorizado</t>
  </si>
  <si>
    <t>Tarea Description</t>
  </si>
  <si>
    <t>Fecha Real</t>
  </si>
  <si>
    <t>Ambiente</t>
  </si>
  <si>
    <t>T1</t>
  </si>
  <si>
    <t>Configurar Firebase Authentication y Proyecto Vite</t>
  </si>
  <si>
    <t>Completado</t>
  </si>
  <si>
    <t>devMaty → Integration</t>
  </si>
  <si>
    <t>T2</t>
  </si>
  <si>
    <t>Diseñar UI básica para login (Vista y Componentes)</t>
  </si>
  <si>
    <t>devAlexander → Integration</t>
  </si>
  <si>
    <t>T3</t>
  </si>
  <si>
    <t>Implementar estructura de base de datos (Firestore)</t>
  </si>
  <si>
    <t>T4</t>
  </si>
  <si>
    <t>Crear estructura inicial del proyecto y rutas</t>
  </si>
  <si>
    <t>Integration</t>
  </si>
  <si>
    <t>T5</t>
  </si>
  <si>
    <t>Implementar listado de productos (Lectura BD)</t>
  </si>
  <si>
    <t>devAlexander</t>
  </si>
  <si>
    <t>T6</t>
  </si>
  <si>
    <t>Implementar edición de productos (Formulario y Lógica)</t>
  </si>
  <si>
    <t>devMaty</t>
  </si>
  <si>
    <t>T9</t>
  </si>
  <si>
    <t>Implementar lógica de eliminación en Firestore</t>
  </si>
  <si>
    <t>T10</t>
  </si>
  <si>
    <t>T11</t>
  </si>
  <si>
    <t>Lógica Backend: Actualizar stock manual (Composable)</t>
  </si>
  <si>
    <t>T12</t>
  </si>
  <si>
    <t>Interfaz Frontend: Actualizar stock manual</t>
  </si>
  <si>
    <t>T13</t>
  </si>
  <si>
    <t>Implementar Gestión de Roles (Admin/User) y Seguridad</t>
  </si>
  <si>
    <t>Integration (Merge)</t>
  </si>
  <si>
    <t>T14</t>
  </si>
  <si>
    <t>Implementar cierre de sesión (Logout)</t>
  </si>
  <si>
    <t>T15</t>
  </si>
  <si>
    <t>Implementar flujo de "Recuperar Contraseña" (UH10)</t>
  </si>
  <si>
    <t>T16</t>
  </si>
  <si>
    <t>Validaciones de formularios (Inputs vacíos, formatos)</t>
  </si>
  <si>
    <t>T17</t>
  </si>
  <si>
    <t>Mejoras UI/UX: Paleta de colores y Feedback visual</t>
  </si>
  <si>
    <t>T18</t>
  </si>
  <si>
    <t>Optimización: Filtros por categoría y Búsqueda</t>
  </si>
  <si>
    <t>T19</t>
  </si>
  <si>
    <t>Lógica de métricas en Composable useProducts</t>
  </si>
  <si>
    <t>T20</t>
  </si>
  <si>
    <t>Pruebas integrales del sistema (Mitad del proyecto)</t>
  </si>
  <si>
    <t>T21</t>
  </si>
  <si>
    <t>Diseñar estructura del módulo de reportes (UH14)</t>
  </si>
  <si>
    <t>T23</t>
  </si>
  <si>
    <t>Implementar impresion de vista dashboard (UH15)</t>
  </si>
  <si>
    <t>T26</t>
  </si>
  <si>
    <t>Diseñar e implementar Dashboard Visual (Librería Vue)</t>
  </si>
  <si>
    <t>T29</t>
  </si>
  <si>
    <t>T30</t>
  </si>
  <si>
    <t>Integrar alertas visuales según umbral</t>
  </si>
  <si>
    <t>T32</t>
  </si>
  <si>
    <t>Documentación de módulos de reportes</t>
  </si>
  <si>
    <t>T33</t>
  </si>
  <si>
    <t>Preparar presentación V1 (Avance)</t>
  </si>
  <si>
    <t>Main</t>
  </si>
  <si>
    <t>Fecha Est.</t>
  </si>
  <si>
    <t>T35</t>
  </si>
  <si>
    <t>Ejecución de Pruebas E2E (Cypress) y Unitarias (Vitest)</t>
  </si>
  <si>
    <t>T36</t>
  </si>
  <si>
    <t>Corrección de Bugs (Roles y Dashboard)</t>
  </si>
  <si>
    <t>Integration → release</t>
  </si>
  <si>
    <t>T37</t>
  </si>
  <si>
    <t>Limpieza de código y refactorización final</t>
  </si>
  <si>
    <t>release</t>
  </si>
  <si>
    <t>T38</t>
  </si>
  <si>
    <t>Redacción de informes y documentacion finales</t>
  </si>
  <si>
    <t>T39</t>
  </si>
  <si>
    <t>Despliegue a Producción (Release v1.0)</t>
  </si>
  <si>
    <t>release → main</t>
  </si>
  <si>
    <t>T40</t>
  </si>
  <si>
    <t>Preparación de Demo y Presentación Final</t>
  </si>
  <si>
    <t>Sprint  Funcional Priorizado</t>
  </si>
  <si>
    <t>Tarea ID</t>
  </si>
  <si>
    <t>Fecha estimada</t>
  </si>
  <si>
    <t>Documento con el Sprint 1 priorizado</t>
  </si>
  <si>
    <t>Configurar Firebase Authentication</t>
  </si>
  <si>
    <t>Rama personal</t>
  </si>
  <si>
    <t>(finaliza este viernes según tu calendario)</t>
  </si>
  <si>
    <t>Diseñar UI para login</t>
  </si>
  <si>
    <t>¿Por qué existe? Es la radiografía de lo que se comprometió el equipo a entregar en el Sprint 1.</t>
  </si>
  <si>
    <t>Implementar formulario de registro producto</t>
  </si>
  <si>
    <t>En qué pensar: “Esto es lo que dijimos que haríamos sí o sí en estas fechas.”</t>
  </si>
  <si>
    <t>Conectar Firestore para crear producto</t>
  </si>
  <si>
    <t>Sirve para: dar foco al equipo y medir si cumplimos los objetivos Sprint vs. realidad.</t>
  </si>
  <si>
    <t>T7</t>
  </si>
  <si>
    <t>Pendiente</t>
  </si>
  <si>
    <t>T8</t>
  </si>
  <si>
    <t>Diseñar y crear endpoint para eliminar producto</t>
  </si>
  <si>
    <t>Implementar cierre de sesión</t>
  </si>
  <si>
    <t>Mejorar diseño visual y navegación general de la aplicación (ajustes UI/UX).</t>
  </si>
  <si>
    <t>Implementar validaciones en formularios de producto y autenticación (inputs, campos vacíos, formatos).</t>
  </si>
  <si>
    <t>Optimizar rendimiento del CRUD y carga de datos desde Firebase (consultas y renderizado).</t>
  </si>
  <si>
    <t>Incorporar mejoras visuales y funcionales solicitadas por el stakeholder (según retroalimentación).</t>
  </si>
  <si>
    <t>Implementar manejo de errores y mensajes de alerta en las principales vistas (login, productos, CRUD).</t>
  </si>
  <si>
    <t>Documentar el funcionamiento del CRUD, autenticación y estructura del proyecto en README técnico.</t>
  </si>
  <si>
    <t>Realizar pruebas integrales del sistema y corregir errores menores antes de cierre de sprint.</t>
  </si>
  <si>
    <t>Diseñar e implementar módulo de reportes de stock (UH14).</t>
  </si>
  <si>
    <t>T22</t>
  </si>
  <si>
    <t>Conectar Firestore para obtener datos reales de productos y stock.</t>
  </si>
  <si>
    <t>Implementar exportación de reportes en formatos PDF y Excel (UH15).</t>
  </si>
  <si>
    <t>T24</t>
  </si>
  <si>
    <t>Probar exportaciones y validar formato de archivos generados.</t>
  </si>
  <si>
    <t>T25</t>
  </si>
  <si>
    <t>Preparar dataset real y ajustar visualización de reportes para dashboard.</t>
  </si>
  <si>
    <t>Diseñar y crear dashboard con métricas de ventas y stock (UH16).</t>
  </si>
  <si>
    <t>T27</t>
  </si>
  <si>
    <t>Conectar dashboard con datos en tiempo real desde Firestore.</t>
  </si>
  <si>
    <t>T28</t>
  </si>
  <si>
    <t>Optimizar visualización del dashboard (colores, tipografía, estructura).</t>
  </si>
  <si>
    <t>Implementar configuración de umbral de stock bajo (UH17).</t>
  </si>
  <si>
    <t>Integrar alertas visuales y dinámicas según el umbral configurado.</t>
  </si>
  <si>
    <t>T31</t>
  </si>
  <si>
    <t>Realizar pruebas integrales de reportes, dashboard y alertas.</t>
  </si>
  <si>
    <t>Documentar los módulos de reportes, exportación y dashboard (documentación técnica).</t>
  </si>
  <si>
    <t>Preparar presentación final del proyecto (diapositivas y demo funcional).</t>
  </si>
  <si>
    <t>T34</t>
  </si>
  <si>
    <t>Cierre del sprint, retroalimentación y revisión de backlog.</t>
  </si>
  <si>
    <t>Review</t>
  </si>
  <si>
    <t>Documento de la Review</t>
  </si>
  <si>
    <t>Historia/Ítem</t>
  </si>
  <si>
    <t>Objetivo del Sprint</t>
  </si>
  <si>
    <t>Entregado (Sí/No)</t>
  </si>
  <si>
    <t>Comentarios del equipo</t>
  </si>
  <si>
    <t>Feedback del cliente</t>
  </si>
  <si>
    <t>Próximos pasos</t>
  </si>
  <si>
    <t>Sirve para: documentar avances, demo de funcionalidades, recoger comentarios que pueden impactar en próximos pasos.</t>
  </si>
  <si>
    <t>Parcial (80%)</t>
  </si>
  <si>
    <t>Se logró la arquitectura y el Login. El CRUD de productos quedó incompleto por curva de aprendizaje con Vue 3.</t>
  </si>
  <si>
    <t>"El inicio de sesión es rápido, pero necesito ver productos reales pronto para validar el flujo."</t>
  </si>
  <si>
    <t>Mover las tareas restantes del CRUD (Crear/Editar) al Sprint 2 y priorizarlas.</t>
  </si>
  <si>
    <t>Completar gestión de inventario (CRUD), roles y seguridad.</t>
  </si>
  <si>
    <t>Sí</t>
  </si>
  <si>
    <t>Se completó el CRUD, Stock manual y la Gestión de Roles (UH11). El sistema ya es funcional y seguro.</t>
  </si>
  <si>
    <t>"El control de inventario es intuitivo. Me gusta que los usuarios 'Operarios' no puedan borrar productos."</t>
  </si>
  <si>
    <t>Optimizar la interfaz (UX), implementar filtros de búsqueda y la recuperación de contraseña en el Sprint 3.</t>
  </si>
  <si>
    <t>Fecha, Sprint y Objetivo (Principios 1, 3)</t>
  </si>
  <si>
    <t>Optimizar UX/UI, validaciones y recuperación de acceso.</t>
  </si>
  <si>
    <t>Se entregó Recuperar Contraseña (UH10) y Filtros (UH12/13). Se implementó la lógica de datos para el futuro dashboard.</t>
  </si>
  <si>
    <t>"La búsqueda es muy útil. La interfaz se ve más profesional. Necesito ver gráficas de ventas pronto."</t>
  </si>
  <si>
    <t>Desarrollar la visualización del Dashboard y la funcionalidad de impresión de reportes en el Sprint 4.</t>
  </si>
  <si>
    <t>Entregables funcionando demostrados (Principio 7)</t>
  </si>
  <si>
    <t>Dashboard visual e Impresión Nativa funcionando. Se integraron alertas de stock bajo.</t>
  </si>
  <si>
    <t>"Los gráficos son claros. La impresión es muy práctica, aunque al principio salía el menú lateral en la hoja ."</t>
  </si>
  <si>
    <t>Iniciar el Sprint de Hardening: Pruebas exhaustivas (QA), corrección de bugs y documentación final.</t>
  </si>
  <si>
    <t>Feedback recibido de negocio/stakeholders (Principio 4)</t>
  </si>
  <si>
    <t>Estabilizar el sistema (QA), documentar y desplegar v1.0.</t>
  </si>
  <si>
    <t>Sistema en Producción. Se ejecutaron pruebas E2E con Cypress y Unitarias con Vitest. Documentación entregada.</t>
  </si>
  <si>
    <t>"El sistema es estable y rápido. La dumentacion clara. Aprobado para uso productivo."</t>
  </si>
  <si>
    <t>Cierre del proyecto, entrega de credenciales y presentación final.</t>
  </si>
  <si>
    <t>Cambios solicitados / adaptaciones planeadas (Principio 2)</t>
  </si>
  <si>
    <t>Validación de valor entregado al cliente (Principios 1, 7)</t>
  </si>
  <si>
    <t>Retrospectivas</t>
  </si>
  <si>
    <t>Retrospectiva Sprint 1 (Arquitectura y Login)</t>
  </si>
  <si>
    <t>Aspecto</t>
  </si>
  <si>
    <t>¿Qué salió bien?</t>
  </si>
  <si>
    <t>¿Qué salió mal?</t>
  </si>
  <si>
    <t>Ideas de mejora</t>
  </si>
  <si>
    <t>Acción concreta</t>
  </si>
  <si>
    <t>Desarrollo</t>
  </si>
  <si>
    <t>Autenticación (Firebase Auth) y estructura base del proyecto levantada exitosamente.</t>
  </si>
  <si>
    <t>El CRUD quedó incompleto por subestimar la complejidad de configurar Vite + Vue.</t>
  </si>
  <si>
    <t>Dividir tareas grandes en subtareas más pequeñas.</t>
  </si>
  <si>
    <t>Mover "Editar y Eliminar" al Sprint 2 para asegurar calidad.</t>
  </si>
  <si>
    <t>Comunicación</t>
  </si>
  <si>
    <t>Daily meetings claras y puntuales.</t>
  </si>
  <si>
    <t>A veces las decisiones técnicas no se documentaban y se olvidaban.</t>
  </si>
  <si>
    <t>Documentar acuerdos inmediatamente.</t>
  </si>
  <si>
    <t>Crear sección de "Notas Técnicas" en el repositorio/Drive.</t>
  </si>
  <si>
    <t>Tecnología</t>
  </si>
  <si>
    <t>La elección de Firebase aceleró el backend.</t>
  </si>
  <si>
    <t>Curva de aprendizaje inicial con la sintaxis de Vue 3 (Composition API).</t>
  </si>
  <si>
    <t>Realizar pair programming en tareas complejas.</t>
  </si>
  <si>
    <t>Dedicar 1 hora del Sprint 2 a revisar mejores prácticas de Vue.</t>
  </si>
  <si>
    <t>Retrospectiva Sprint 2 (CRUD, Roles y Seguridad)</t>
  </si>
  <si>
    <t>Se completó el CRUD y se integró exitosamente la gestión de Roles (Admin/User).</t>
  </si>
  <si>
    <t>Se detectaron errores visuales (botones desalineados) y faltaron validaciones en inputs numéricos.</t>
  </si>
  <si>
    <t>Implementar validaciones en tiempo real (mientras se escribe).</t>
  </si>
  <si>
    <t>Aplicar validaciones reactivas en formularios del Sprint 3.</t>
  </si>
  <si>
    <t>Buena coordinación en la asignación de tareas frontend/backend.</t>
  </si>
  <si>
    <t>En días de mucho código, se omitieron actualizaciones detalladas en la Daily.</t>
  </si>
  <si>
    <t>Reforzar comunicación diaria aunque el avance sea visualmente pequeño.</t>
  </si>
  <si>
    <t>Registrar avances en el tablero Kanban antes de la Daily.</t>
  </si>
  <si>
    <t>Gestión</t>
  </si>
  <si>
    <t>Las tareas críticas se cumplieron.</t>
  </si>
  <si>
    <t>Faltó priorizar el feedback del stakeholder sobre el diseño de la tabla.</t>
  </si>
  <si>
    <t>Planificar tiempo de "buffer" (holgura) para ajustes.</t>
  </si>
  <si>
    <t>Dejar el último día del Sprint solo para ajustes visuales/feedback.</t>
  </si>
  <si>
    <t>Pruebas funcionales manuales exitosas.</t>
  </si>
  <si>
    <t>No se documentaron los resultados de las pruebas (evidencia).</t>
  </si>
  <si>
    <t>Formalizar el proceso de QA.</t>
  </si>
  <si>
    <t>Crear una plantilla Excel de "Casos de Prueba" para el Sprint 3.</t>
  </si>
  <si>
    <t>Retrospectiva Sprint 3 (UX, Dashboard V1 y Validaciones)</t>
  </si>
  <si>
    <t>La recuperación de contraseña y los filtros de búsqueda mejoraron mucho la UX.</t>
  </si>
  <si>
    <t>Desincronización de gráficos (IMP-10): El Dashboard no reaccionaba a los cambios en Firestore al instante.</t>
  </si>
  <si>
    <t>Mejorar el uso de la reactividad de Vue 3.</t>
  </si>
  <si>
    <t>Implementar watchEffect en los Composables para recalcular métricas automáticamente.</t>
  </si>
  <si>
    <t>Tiempos</t>
  </si>
  <si>
    <t>Se logró recuperar el retraso de validaciones del Sprint 2.</t>
  </si>
  <si>
    <t>La documentación técnica se dejó para el último día, causando estrés (IMP-11).</t>
  </si>
  <si>
    <t>Documentar progresivamente (Document as you code).</t>
  </si>
  <si>
    <t>Escribir comentarios en el código y documentar al finalizar cada tarea.</t>
  </si>
  <si>
    <t>El sistema es visualmente más coherente (paleta de colores unificada).</t>
  </si>
  <si>
    <t>Surgieron errores de CSS (Tailwind) al mezclar componentes nuevos y viejos.</t>
  </si>
  <si>
    <t>Crear componentes reutilizables.</t>
  </si>
  <si>
    <t>Centralizar botones y tarjetas en componentes Vue para no repetir código.</t>
  </si>
  <si>
    <t>Retrospectiva Sprint 4 (Reportes y Alertas)</t>
  </si>
  <si>
    <t>Mencionar que la decisión de usar impresión nativa fue un acierto para simplificar el desarrollo y reducir el peso de la app.</t>
  </si>
  <si>
    <t>Problemas de formato en los datos (fechas y monedas) en los reportes (IMP-15).</t>
  </si>
  <si>
    <t>Estandarizar el formato de datos en el Backend/Composables.</t>
  </si>
  <si>
    <t>Crear una función utilitaria formatCurrency y usarla en toda la app.</t>
  </si>
  <si>
    <t>Herramientas</t>
  </si>
  <si>
    <t>El Dashboard final con gráficos se ve profesional.</t>
  </si>
  <si>
    <t>La librería de gráficos requirió más configuración de la esperada.</t>
  </si>
  <si>
    <t>Prototipar gráficos complejos antes de prometerlos.</t>
  </si>
  <si>
    <t>N/A (Ya se resolvió).</t>
  </si>
  <si>
    <t>Equipo</t>
  </si>
  <si>
    <t>Excelente colaboración para resolver el bug de las alertas visuales.</t>
  </si>
  <si>
    <t>Cansancio acumulado por la complejidad del sprint.</t>
  </si>
  <si>
    <t>Mejorar el balance de carga de trabajo.</t>
  </si>
  <si>
    <t>Asegurar que el Sprint 5 sea solo de estabilización (sin funciones nuevas).</t>
  </si>
  <si>
    <t>Retrospectiva Sprint 5 (Hardening y Cierre)</t>
  </si>
  <si>
    <t>El sistema en producción es estable. Se detectó y corrigió el bug crítico de permisos (IMP-17) a tiempo.</t>
  </si>
  <si>
    <t>El bug de permisos (User viendo botones de eliminar) no debió llegar a este sprint.</t>
  </si>
  <si>
    <t>Mejorar las pruebas de seguridad en etapas tempranas.</t>
  </si>
  <si>
    <t>Para futuros proyectos: probar roles en cada sprint con Cypress, no al final.</t>
  </si>
  <si>
    <t>Los manuales de usuario y técnico están completos y aprobados.</t>
  </si>
  <si>
    <t>La recopilación de capturas de pantalla tomó mucho tiempo por cambios de última hora.</t>
  </si>
  <si>
    <t>Automatizar capturas o congelar la UI antes.</t>
  </si>
  <si>
    <t>Definir "UI Freeze" 3 días antes de documentar.</t>
  </si>
  <si>
    <t>Despliegue</t>
  </si>
  <si>
    <t>El pase a producción fue limpio y sin caídas.</t>
  </si>
  <si>
    <t>Nerviosismo antes de la demo final.</t>
  </si>
  <si>
    <t>Realizar más ensayos de la presentación.</t>
  </si>
  <si>
    <t>Realizar un ensayo general cronometrado el día previo a la defensa.</t>
  </si>
  <si>
    <t>Sprint Review</t>
  </si>
  <si>
    <t>Historia / Ítem</t>
  </si>
  <si>
    <t>Cambios solicitados</t>
  </si>
  <si>
    <t>Impacto en Backlog</t>
  </si>
  <si>
    <t>UH01 (Iniciar sesión)</t>
  </si>
  <si>
    <t>El login funciona rápido y conecta bien con Firebase Auth.</t>
  </si>
  <si>
    <t>Ninguno por ahora.</t>
  </si>
  <si>
    <t>UH02 (Registrar producto)</t>
  </si>
  <si>
    <t>No</t>
  </si>
  <si>
    <t>Se mostró la estructura del formulario pero faltan validaciones.</t>
  </si>
  <si>
    <t>Completar validaciones y lógica de guardado en el siguiente sprint.</t>
  </si>
  <si>
    <t>Mover a Sprint 2</t>
  </si>
  <si>
    <t>UH05 (Listado de productos)</t>
  </si>
  <si>
    <t>Se mostró la tabla vacía (mockup) pero no carga datos reales aún.</t>
  </si>
  <si>
    <t>Conectar con la colección de Firestore real.</t>
  </si>
  <si>
    <t>Entregado</t>
  </si>
  <si>
    <t>Formulario correcto y funcional.</t>
  </si>
  <si>
    <t>Agregar validación para evitar números negativos en el precio.</t>
  </si>
  <si>
    <t>Aceptado</t>
  </si>
  <si>
    <t>Cliente satisfecho con la visualización y orden de los datos.</t>
  </si>
  <si>
    <t>Ajustar colores y diseño de la tabla (Tailwind) para mayor legibilidad.</t>
  </si>
  <si>
    <t>UH03 (Editar producto)</t>
  </si>
  <si>
    <t>Función estable, permite editar correctamente en tiempo real.</t>
  </si>
  <si>
    <t>Añadir validaciones en campos vacíos al guardar.</t>
  </si>
  <si>
    <t>UH04 (Eliminar producto)</t>
  </si>
  <si>
    <t>Función correcta, elimina documentos de Firestore.</t>
  </si>
  <si>
    <t>Incluir mensaje de confirmación ("¿Estás seguro?") antes de eliminar.</t>
  </si>
  <si>
    <t>UH09 (Cerrar sesión)</t>
  </si>
  <si>
    <t>Logout funcional y seguro.</t>
  </si>
  <si>
    <t>Agregar mensaje visual "Sesión cerrada" al salir.</t>
  </si>
  <si>
    <t>UH08 (Stock manual)</t>
  </si>
  <si>
    <t>Actualización estable y rápida.</t>
  </si>
  <si>
    <t>Mejorar la visibilidad del input de stock y su formato numérico.</t>
  </si>
  <si>
    <t>UH11 (Gestionar Roles)</t>
  </si>
  <si>
    <t>El cliente valoró la distinción Admin/Usuario para seguridad.</t>
  </si>
  <si>
    <t>Añadir indicador visual de "Rol: Admin" en la barra de navegación.</t>
  </si>
  <si>
    <t>UH10 (Recuperar clave)</t>
  </si>
  <si>
    <t>Destacaron la utilidad para olvido de credenciales.</t>
  </si>
  <si>
    <t>Mejorar la visibilidad del botón "¿Olvidaste tu contraseña?" en el Login.</t>
  </si>
  <si>
    <t>UH12 (Buscar producto)</t>
  </si>
  <si>
    <t>Filtro rápido y útil para inventarios extensos.</t>
  </si>
  <si>
    <t>Permitir búsqueda insensible a mayúsculas/minúsculas.</t>
  </si>
  <si>
    <t>UH13 (Filtrar categoría)</t>
  </si>
  <si>
    <t>Mejora importante para la visualización del inventario.</t>
  </si>
  <si>
    <t>Incorporar opción de "Ver todas" las categorías para resetear filtro.</t>
  </si>
  <si>
    <t>UH16 (Dashboard V1)</t>
  </si>
  <si>
    <t>Parcial</t>
  </si>
  <si>
    <t>Se mostraron los primeros gráficos con datos de prueba/lógica base.</t>
  </si>
  <si>
    <t>Los colores de los gráficos son muy similares, falta contraste.</t>
  </si>
  <si>
    <t>Pendiente para Sprint 4</t>
  </si>
  <si>
    <t>UH16 (Dashboard Final)</t>
  </si>
  <si>
    <t>Métricas claras. Excelente visualización de ventas y stock.</t>
  </si>
  <si>
    <t>Ninguno. Diseño aprobado.</t>
  </si>
  <si>
    <t>UH14 (Reportes Stock)</t>
  </si>
  <si>
    <t>La tabla de reporte es clara y detallada.</t>
  </si>
  <si>
    <t>Alinear columnas de precios a la derecha (formato moneda).</t>
  </si>
  <si>
    <t>UH15 (Impresion Dashboard)</t>
  </si>
  <si>
    <t>La función es muy práctica y rápida.</t>
  </si>
  <si>
    <t>Al principio salía el botón de "Cerrar Sesión" en la hoja impresa. Se solicitó ocultarlo.</t>
  </si>
  <si>
    <t>Corrección menor</t>
  </si>
  <si>
    <t>UH17 (Configurar Umbral)</t>
  </si>
  <si>
    <t>Lógica de configuración funcional en base de datos.</t>
  </si>
  <si>
    <t>Clarificar en la UI que el umbral es la "cantidad mínima aceptable".</t>
  </si>
  <si>
    <t>UH06 (Alertas Visuales)</t>
  </si>
  <si>
    <t>Las alertas rojas se ven bien en el listado.</t>
  </si>
  <si>
    <t>Agregar un tooltip que diga "Stock Crítico" al pasar el mouse.</t>
  </si>
  <si>
    <t>HT-01 (Pruebas Integrales)</t>
  </si>
  <si>
    <t>El sistema se siente robusto. Bugs críticos de roles corregidos tras pruebas Cypress.</t>
  </si>
  <si>
    <t>Ninguno. Sistema estable y validado.</t>
  </si>
  <si>
    <t>Aprobado</t>
  </si>
  <si>
    <t>HT-02 (Documentación)</t>
  </si>
  <si>
    <t>Documentacion completos y claros. Diagramas actualizados.</t>
  </si>
  <si>
    <t>Agregar índice a los documentos para búsqueda rápida.</t>
  </si>
  <si>
    <t>HT-03 (Release v1.0)</t>
  </si>
  <si>
    <t>Despliegue en producción (Firebase Hosting) exitoso.</t>
  </si>
  <si>
    <t>Ninguno. Proyecto listo para defensa.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</si>
</sst>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7">
    <font>
      <sz val="10.0"/>
      <color rgb="FF000000"/>
      <name val="Arial"/>
      <scheme val="minor"/>
    </font>
    <font>
      <i/>
      <sz val="25.0"/>
      <color theme="1"/>
      <name val="Impact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0"/>
      <name val="&quot;Google Sans Text&quot;"/>
    </font>
    <font>
      <color rgb="FFFFFFFF"/>
      <name val="Arial"/>
      <scheme val="minor"/>
    </font>
    <font>
      <color theme="0"/>
      <name val="Arial"/>
      <scheme val="minor"/>
    </font>
    <font>
      <sz val="8.0"/>
      <color theme="1"/>
      <name val="Arial"/>
      <scheme val="minor"/>
    </font>
    <font>
      <color rgb="FFFFFFFF"/>
      <name val="&quot;Google Sans Text&quot;"/>
    </font>
    <font>
      <color theme="1"/>
      <name val="&quot;Google Sans Text&quot;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&quot;Google Sans Text&quot;"/>
    </font>
    <font>
      <b/>
      <color rgb="FF444746"/>
      <name val="&quot;Google Sans Text&quot;"/>
    </font>
    <font>
      <color rgb="FF444746"/>
      <name val="&quot;Google Sans Text&quot;"/>
    </font>
    <font>
      <color rgb="FF1F1F1F"/>
      <name val="Google Sans Text"/>
    </font>
    <font>
      <color theme="1"/>
      <name val="Google Sans Text"/>
    </font>
    <font>
      <color rgb="FF000000"/>
      <name val="&quot;Google Sans Text&quot;"/>
    </font>
    <font>
      <b/>
      <color rgb="FF000000"/>
      <name val="&quot;Google Sans Text&quot;"/>
    </font>
    <font>
      <i/>
      <sz val="16.0"/>
      <color theme="1"/>
      <name val="Impact"/>
    </font>
    <font>
      <color theme="1"/>
      <name val="Arial"/>
    </font>
    <font>
      <b/>
      <sz val="9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A61C00"/>
        <bgColor rgb="FFA61C00"/>
      </patternFill>
    </fill>
    <fill>
      <patternFill patternType="solid">
        <fgColor rgb="FF990000"/>
        <bgColor rgb="FF990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4" numFmtId="164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164" xfId="0" applyAlignment="1" applyBorder="1" applyFont="1" applyNumberFormat="1">
      <alignment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5" numFmtId="164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5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6" numFmtId="164" xfId="0" applyAlignment="1" applyBorder="1" applyFont="1" applyNumberForma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7" numFmtId="164" xfId="0" applyAlignment="1" applyBorder="1" applyFont="1" applyNumberFormat="1">
      <alignment readingOrder="0" shrinkToFit="0" vertical="center" wrapText="0"/>
    </xf>
    <xf borderId="1" fillId="3" fontId="8" numFmtId="164" xfId="0" applyAlignment="1" applyBorder="1" applyFill="1" applyFont="1" applyNumberFormat="1">
      <alignment readingOrder="0" shrinkToFit="0" vertical="center" wrapText="0"/>
    </xf>
    <xf borderId="1" fillId="3" fontId="9" numFmtId="0" xfId="0" applyAlignment="1" applyBorder="1" applyFont="1">
      <alignment readingOrder="0" shrinkToFit="0" vertical="center" wrapText="0"/>
    </xf>
    <xf borderId="1" fillId="3" fontId="9" numFmtId="0" xfId="0" applyAlignment="1" applyBorder="1" applyFont="1">
      <alignment readingOrder="0" shrinkToFit="0" vertical="center" wrapText="0"/>
    </xf>
    <xf borderId="1" fillId="3" fontId="6" numFmtId="0" xfId="0" applyAlignment="1" applyBorder="1" applyFont="1">
      <alignment readingOrder="0" shrinkToFit="0" vertical="center" wrapText="0"/>
    </xf>
    <xf borderId="1" fillId="3" fontId="10" numFmtId="0" xfId="0" applyAlignment="1" applyBorder="1" applyFont="1">
      <alignment readingOrder="0" shrinkToFit="0" vertical="center" wrapText="0"/>
    </xf>
    <xf borderId="1" fillId="3" fontId="10" numFmtId="164" xfId="0" applyAlignment="1" applyBorder="1" applyFont="1" applyNumberFormat="1">
      <alignment readingOrder="0" shrinkToFit="0" vertical="center" wrapText="1"/>
    </xf>
    <xf borderId="1" fillId="4" fontId="10" numFmtId="164" xfId="0" applyAlignment="1" applyBorder="1" applyFill="1" applyFont="1" applyNumberFormat="1">
      <alignment readingOrder="0" shrinkToFit="0" vertical="center" wrapText="1"/>
    </xf>
    <xf borderId="1" fillId="4" fontId="2" numFmtId="0" xfId="0" applyAlignment="1" applyBorder="1" applyFont="1">
      <alignment readingOrder="0" shrinkToFit="0" vertical="center" wrapText="0"/>
    </xf>
    <xf borderId="1" fillId="4" fontId="9" numFmtId="0" xfId="0" applyAlignment="1" applyBorder="1" applyFont="1">
      <alignment readingOrder="0" shrinkToFit="0" vertical="center" wrapText="1"/>
    </xf>
    <xf borderId="1" fillId="4" fontId="6" numFmtId="0" xfId="0" applyAlignment="1" applyBorder="1" applyFont="1">
      <alignment readingOrder="0" shrinkToFit="0" vertical="center" wrapText="0"/>
    </xf>
    <xf borderId="1" fillId="4" fontId="9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0" fillId="2" fontId="2" numFmtId="0" xfId="0" applyFont="1"/>
    <xf borderId="0" fillId="0" fontId="11" numFmtId="0" xfId="0" applyFont="1"/>
    <xf borderId="1" fillId="0" fontId="12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13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5" fontId="14" numFmtId="0" xfId="0" applyAlignment="1" applyFill="1" applyFont="1">
      <alignment readingOrder="0"/>
    </xf>
    <xf borderId="0" fillId="5" fontId="15" numFmtId="0" xfId="0" applyAlignment="1" applyFont="1">
      <alignment readingOrder="0"/>
    </xf>
    <xf borderId="0" fillId="5" fontId="2" numFmtId="0" xfId="0" applyFont="1"/>
    <xf borderId="0" fillId="5" fontId="1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5" fontId="16" numFmtId="0" xfId="0" applyAlignment="1" applyFont="1">
      <alignment readingOrder="0"/>
    </xf>
    <xf borderId="0" fillId="0" fontId="6" numFmtId="0" xfId="0" applyFont="1"/>
    <xf borderId="1" fillId="0" fontId="17" numFmtId="0" xfId="0" applyAlignment="1" applyBorder="1" applyFont="1">
      <alignment horizontal="left" readingOrder="0" shrinkToFit="0" vertical="center" wrapText="0"/>
    </xf>
    <xf borderId="1" fillId="0" fontId="17" numFmtId="2" xfId="0" applyAlignment="1" applyBorder="1" applyFont="1" applyNumberForma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6" numFmtId="2" xfId="0" applyAlignment="1" applyBorder="1" applyFont="1" applyNumberFormat="1">
      <alignment readingOrder="0" shrinkToFit="0" vertical="center" wrapText="0"/>
    </xf>
    <xf borderId="1" fillId="0" fontId="18" numFmtId="0" xfId="0" applyAlignment="1" applyBorder="1" applyFont="1">
      <alignment shrinkToFit="0" vertical="center" wrapText="0"/>
    </xf>
    <xf borderId="1" fillId="0" fontId="19" numFmtId="2" xfId="0" applyAlignment="1" applyBorder="1" applyFont="1" applyNumberFormat="1">
      <alignment shrinkToFit="0" vertical="center" wrapText="0"/>
    </xf>
    <xf borderId="1" fillId="0" fontId="7" numFmtId="165" xfId="0" applyAlignment="1" applyBorder="1" applyFont="1" applyNumberFormat="1">
      <alignment readingOrder="0" shrinkToFit="0" vertical="center" wrapText="0"/>
    </xf>
    <xf borderId="0" fillId="0" fontId="2" numFmtId="2" xfId="0" applyFont="1" applyNumberFormat="1"/>
    <xf borderId="0" fillId="0" fontId="6" numFmtId="164" xfId="0" applyAlignment="1" applyFont="1" applyNumberFormat="1">
      <alignment readingOrder="0"/>
    </xf>
    <xf borderId="0" fillId="0" fontId="19" numFmtId="0" xfId="0" applyFont="1"/>
    <xf borderId="0" fillId="0" fontId="6" numFmtId="165" xfId="0" applyAlignment="1" applyFont="1" applyNumberFormat="1">
      <alignment readingOrder="0"/>
    </xf>
    <xf borderId="0" fillId="0" fontId="13" numFmtId="0" xfId="0" applyAlignment="1" applyFont="1">
      <alignment readingOrder="0"/>
    </xf>
    <xf borderId="1" fillId="0" fontId="7" numFmtId="0" xfId="0" applyAlignment="1" applyBorder="1" applyFont="1">
      <alignment readingOrder="0" shrinkToFit="0" vertical="center" wrapText="0"/>
    </xf>
    <xf borderId="1" fillId="0" fontId="6" numFmtId="165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0" fontId="4" numFmtId="0" xfId="0" applyFont="1"/>
    <xf borderId="1" fillId="0" fontId="2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1" fillId="0" fontId="20" numFmtId="0" xfId="0" applyAlignment="1" applyBorder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1" fillId="6" fontId="6" numFmtId="0" xfId="0" applyAlignment="1" applyBorder="1" applyFill="1" applyFont="1">
      <alignment readingOrder="0" shrinkToFit="0" vertical="center" wrapText="0"/>
    </xf>
    <xf borderId="1" fillId="6" fontId="7" numFmtId="0" xfId="0" applyAlignment="1" applyBorder="1" applyFont="1">
      <alignment readingOrder="0" shrinkToFit="0" vertical="center" wrapText="0"/>
    </xf>
    <xf borderId="1" fillId="0" fontId="22" numFmtId="0" xfId="0" applyAlignment="1" applyBorder="1" applyFont="1">
      <alignment readingOrder="0" shrinkToFit="0" vertical="center" wrapText="0"/>
    </xf>
    <xf borderId="0" fillId="0" fontId="3" numFmtId="0" xfId="0" applyFont="1"/>
    <xf borderId="1" fillId="5" fontId="7" numFmtId="0" xfId="0" applyAlignment="1" applyBorder="1" applyFont="1">
      <alignment readingOrder="0" shrinkToFit="0" vertical="center" wrapText="0"/>
    </xf>
    <xf borderId="1" fillId="5" fontId="7" numFmtId="0" xfId="0" applyAlignment="1" applyBorder="1" applyFont="1">
      <alignment readingOrder="0" shrinkToFit="0" vertical="center" wrapText="0"/>
    </xf>
    <xf borderId="1" fillId="5" fontId="7" numFmtId="0" xfId="0" applyAlignment="1" applyBorder="1" applyFont="1">
      <alignment readingOrder="0" shrinkToFit="0" vertical="center" wrapText="0"/>
    </xf>
    <xf borderId="1" fillId="5" fontId="23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6" fontId="6" numFmtId="0" xfId="0" applyAlignment="1" applyBorder="1" applyFont="1">
      <alignment readingOrder="0" shrinkToFit="0" vertical="center" wrapText="0"/>
    </xf>
    <xf borderId="1" fillId="6" fontId="7" numFmtId="0" xfId="0" applyAlignment="1" applyBorder="1" applyFont="1">
      <alignment readingOrder="0" shrinkToFit="0" vertical="center" wrapText="0"/>
    </xf>
    <xf borderId="0" fillId="6" fontId="2" numFmtId="0" xfId="0" applyFont="1"/>
    <xf borderId="1" fillId="0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2" numFmtId="165" xfId="0" applyAlignment="1" applyFont="1" applyNumberFormat="1">
      <alignment readingOrder="0"/>
    </xf>
    <xf borderId="0" fillId="2" fontId="13" numFmtId="0" xfId="0" applyAlignment="1" applyFont="1">
      <alignment readingOrder="0"/>
    </xf>
    <xf borderId="0" fillId="0" fontId="13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164" xfId="0" applyAlignment="1" applyFont="1" applyNumberForma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2" fontId="24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5" numFmtId="0" xfId="0" applyAlignment="1" applyFont="1">
      <alignment vertical="bottom"/>
    </xf>
    <xf borderId="0" fillId="0" fontId="5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7" fontId="14" numFmtId="0" xfId="0" applyAlignment="1" applyFill="1" applyFont="1">
      <alignment horizontal="center" readingOrder="0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horizontal="center" readingOrder="0"/>
    </xf>
    <xf borderId="0" fillId="2" fontId="2" numFmtId="0" xfId="0" applyAlignment="1" applyFont="1">
      <alignment shrinkToFit="0" wrapText="1"/>
    </xf>
    <xf borderId="1" fillId="8" fontId="7" numFmtId="0" xfId="0" applyAlignment="1" applyBorder="1" applyFill="1" applyFont="1">
      <alignment readingOrder="0" shrinkToFit="0" vertical="center" wrapText="1"/>
    </xf>
    <xf borderId="1" fillId="9" fontId="7" numFmtId="0" xfId="0" applyAlignment="1" applyBorder="1" applyFill="1" applyFont="1">
      <alignment readingOrder="0" shrinkToFit="0" vertical="center" wrapText="1"/>
    </xf>
    <xf borderId="1" fillId="10" fontId="7" numFmtId="0" xfId="0" applyAlignment="1" applyBorder="1" applyFill="1" applyFont="1">
      <alignment readingOrder="0" shrinkToFit="0" vertical="center" wrapText="1"/>
    </xf>
    <xf borderId="1" fillId="6" fontId="7" numFmtId="0" xfId="0" applyAlignment="1" applyBorder="1" applyFont="1">
      <alignment readingOrder="0" shrinkToFit="0" vertical="center" wrapText="1"/>
    </xf>
    <xf borderId="1" fillId="11" fontId="7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8">
    <tableStyle count="4" pivot="0" name="Dai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rum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rum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rumboar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rumboard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rumboard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Plann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Plannin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Plannin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Planning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Planning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rndown Cha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istro de impedimentos - Imp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pic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cklog Prioriz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finamiento del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finamiento del Spri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Prioriz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Priorizad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Priorizad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Priorizad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Priorizad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s priorizados (antig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s priorizados (antig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s priorizados (antig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s priorizados (antig)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spectiv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spectiva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spectiva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spectiva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spectiva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Review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Review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Review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Review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Reviews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Chart Real vs Ideal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'Burndown Chart'!$D$2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'Burndown Chart'!$A$3:$A$18</c:f>
            </c:strRef>
          </c:cat>
          <c:val>
            <c:numRef>
              <c:f>'Burndown Chart'!$D$3:$D$18</c:f>
              <c:numCache/>
            </c:numRef>
          </c:val>
          <c:smooth val="0"/>
        </c:ser>
        <c:ser>
          <c:idx val="1"/>
          <c:order val="1"/>
          <c:tx>
            <c:strRef>
              <c:f>'Burndown Chart'!$E$2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'Burndown Chart'!$A$3:$A$18</c:f>
            </c:strRef>
          </c:cat>
          <c:val>
            <c:numRef>
              <c:f>'Burndown Chart'!$E$3:$E$18</c:f>
              <c:numCache/>
            </c:numRef>
          </c:val>
          <c:smooth val="0"/>
        </c:ser>
        <c:axId val="2036106040"/>
        <c:axId val="68166527"/>
      </c:lineChart>
      <c:catAx>
        <c:axId val="2036106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Hito /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66527"/>
      </c:catAx>
      <c:valAx>
        <c:axId val="68166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6106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</xdr:row>
      <xdr:rowOff>19050</xdr:rowOff>
    </xdr:from>
    <xdr:ext cx="4543425" cy="28098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I79" displayName="Acta_diaria" name="Acta_diaria" id="1">
  <tableColumns count="9">
    <tableColumn name="Fecha" id="1"/>
    <tableColumn name="Sprint" id="2"/>
    <tableColumn name="Objetivo" id="3"/>
    <tableColumn name="Participantes" id="4"/>
    <tableColumn name="¿Qué hice ayer?" id="5"/>
    <tableColumn name="¿Qué haré hoy?" id="6"/>
    <tableColumn name="Impedimentos" id="7"/>
    <tableColumn name="Colaboración" id="8"/>
    <tableColumn name="Compromisos" id="9"/>
  </tableColumns>
  <tableStyleInfo name="Daily-style" showColumnStripes="0" showFirstColumn="1" showLastColumn="1" showRowStripes="1"/>
</table>
</file>

<file path=xl/tables/table2.xml><?xml version="1.0" encoding="utf-8"?>
<table xmlns="http://schemas.openxmlformats.org/spreadsheetml/2006/main" ref="A3:E7" displayName="SCRUMBOARD" name="SCRUMBOARD" id="2">
  <tableColumns count="5">
    <tableColumn name="Historias (Stories)" id="1"/>
    <tableColumn name="Por Hacer (To Do)" id="2"/>
    <tableColumn name="En Progreso (Doing)" id="3"/>
    <tableColumn name="Verificación (Testing)" id="4"/>
    <tableColumn name="Terminado (Done)" id="5"/>
  </tableColumns>
  <tableStyleInfo name="Scrumboard-style" showColumnStripes="0" showFirstColumn="1" showLastColumn="1" showRowStripes="1"/>
</table>
</file>

<file path=xl/tables/table3.xml><?xml version="1.0" encoding="utf-8"?>
<table xmlns="http://schemas.openxmlformats.org/spreadsheetml/2006/main" ref="A9:E17" displayName="SCRUMBOARD_2" name="SCRUMBOARD_2" id="3">
  <tableColumns count="5">
    <tableColumn name="Historias (Stories)" id="1"/>
    <tableColumn name="Por Hacer (To Do)" id="2"/>
    <tableColumn name="En Progreso (Doing)" id="3"/>
    <tableColumn name="Verificación (Testing)" id="4"/>
    <tableColumn name="Terminado (Done)" id="5"/>
  </tableColumns>
  <tableStyleInfo name="Scrumboard-style 2" showColumnStripes="0" showFirstColumn="1" showLastColumn="1" showRowStripes="1"/>
</table>
</file>

<file path=xl/tables/table4.xml><?xml version="1.0" encoding="utf-8"?>
<table xmlns="http://schemas.openxmlformats.org/spreadsheetml/2006/main" ref="A19:E25" displayName="SCRUMBOARD_3" name="SCRUMBOARD_3" id="4">
  <tableColumns count="5">
    <tableColumn name="Historias (Stories)" id="1"/>
    <tableColumn name="Por Hacer (To Do)" id="2"/>
    <tableColumn name="En Progreso (Doing)" id="3"/>
    <tableColumn name="Verificación (Testing)" id="4"/>
    <tableColumn name="Terminado (Done)" id="5"/>
  </tableColumns>
  <tableStyleInfo name="Scrumboard-style 3" showColumnStripes="0" showFirstColumn="1" showLastColumn="1" showRowStripes="1"/>
</table>
</file>

<file path=xl/tables/table5.xml><?xml version="1.0" encoding="utf-8"?>
<table xmlns="http://schemas.openxmlformats.org/spreadsheetml/2006/main" ref="A27:E33" displayName="SCRUMBOARD_4" name="SCRUMBOARD_4" id="5">
  <tableColumns count="5">
    <tableColumn name="Historias (Stories)" id="1"/>
    <tableColumn name="Por Hacer (To Do)" id="2"/>
    <tableColumn name="En Progreso (Doing)" id="3"/>
    <tableColumn name="Verificación (Testing)" id="4"/>
    <tableColumn name="Terminado (Done)" id="5"/>
  </tableColumns>
  <tableStyleInfo name="Scrumboard-style 4" showColumnStripes="0" showFirstColumn="1" showLastColumn="1" showRowStripes="1"/>
</table>
</file>

<file path=xl/tables/table6.xml><?xml version="1.0" encoding="utf-8"?>
<table xmlns="http://schemas.openxmlformats.org/spreadsheetml/2006/main" ref="A35:E40" displayName="SCRUMBOARD_5" name="SCRUMBOARD_5" id="6">
  <tableColumns count="5">
    <tableColumn name="Historias (Stories)" id="1"/>
    <tableColumn name="Por Hacer (To Do)" id="2"/>
    <tableColumn name="En Progreso (Doing)" id="3"/>
    <tableColumn name="Verificación (Testing)" id="4"/>
    <tableColumn name="Terminado (Done)" id="5"/>
  </tableColumns>
  <tableStyleInfo name="Scrumboard-style 5" showColumnStripes="0" showFirstColumn="1" showLastColumn="1" showRowStripes="1"/>
</table>
</file>

<file path=xl/tables/table7.xml><?xml version="1.0" encoding="utf-8"?>
<table xmlns="http://schemas.openxmlformats.org/spreadsheetml/2006/main" ref="A5:E8" displayName="Sprint_Planning_1" name="Sprint_Planning_1" id="7">
  <tableColumns count="5">
    <tableColumn name="ID Historia" id="1"/>
    <tableColumn name="Historia de Usuario / Ítem" id="2"/>
    <tableColumn name="Estimación" id="3"/>
    <tableColumn name="Plan de Trabajo (Tareas Técnicas)" id="4"/>
    <tableColumn name="Responsable" id="5"/>
  </tableColumns>
  <tableStyleInfo name="Sprint Planning-style" showColumnStripes="0" showFirstColumn="1" showLastColumn="1" showRowStripes="1"/>
</table>
</file>

<file path=xl/tables/table8.xml><?xml version="1.0" encoding="utf-8"?>
<table xmlns="http://schemas.openxmlformats.org/spreadsheetml/2006/main" ref="A12:E19" displayName="Sprint_Planning_2" name="Sprint_Planning_2" id="8">
  <tableColumns count="5">
    <tableColumn name="ID Historia" id="1"/>
    <tableColumn name="Historia de Usuario / Ítem" id="2"/>
    <tableColumn name="Estimación" id="3"/>
    <tableColumn name="Plan de Trabajo (Tareas Técnicas)" id="4"/>
    <tableColumn name="Responsable" id="5"/>
  </tableColumns>
  <tableStyleInfo name="Sprint Planning-style 2" showColumnStripes="0" showFirstColumn="1" showLastColumn="1" showRowStripes="1"/>
</table>
</file>

<file path=xl/tables/table9.xml><?xml version="1.0" encoding="utf-8"?>
<table xmlns="http://schemas.openxmlformats.org/spreadsheetml/2006/main" ref="A23:E29" displayName="Sprint_Planning_3" name="Sprint_Planning_3" id="9">
  <tableColumns count="5">
    <tableColumn name="ID Historia" id="1"/>
    <tableColumn name="Historia de Usuario / Ítem" id="2"/>
    <tableColumn name="Estimación" id="3"/>
    <tableColumn name="Plan de Trabajo (Tareas Técnicas)" id="4"/>
    <tableColumn name="Responsable" id="5"/>
  </tableColumns>
  <tableStyleInfo name="Sprint Planning-style 3" showColumnStripes="0" showFirstColumn="1" showLastColumn="1" showRowStripes="1"/>
</table>
</file>

<file path=xl/tables/table10.xml><?xml version="1.0" encoding="utf-8"?>
<table xmlns="http://schemas.openxmlformats.org/spreadsheetml/2006/main" ref="A33:E39" displayName="Sprint_Planning_4" name="Sprint_Planning_4" id="10">
  <tableColumns count="5">
    <tableColumn name="ID Historia" id="1"/>
    <tableColumn name="Historia de Usuario / Ítem" id="2"/>
    <tableColumn name="Estimación" id="3"/>
    <tableColumn name="Plan de Trabajo (Tareas Técnicas)" id="4"/>
    <tableColumn name="Responsable" id="5"/>
  </tableColumns>
  <tableStyleInfo name="Sprint Planning-style 4" showColumnStripes="0" showFirstColumn="1" showLastColumn="1" showRowStripes="1"/>
</table>
</file>

<file path=xl/tables/table11.xml><?xml version="1.0" encoding="utf-8"?>
<table xmlns="http://schemas.openxmlformats.org/spreadsheetml/2006/main" ref="A43:E46" displayName="Sprint_Planning_5" name="Sprint_Planning_5" id="11">
  <tableColumns count="5">
    <tableColumn name="ID Historia" id="1"/>
    <tableColumn name="Historia Técnica (Ítem)" id="2"/>
    <tableColumn name="Estimación" id="3"/>
    <tableColumn name="Plan de Trabajo (Tareas Técnicas)" id="4"/>
    <tableColumn name="Responsable" id="5"/>
  </tableColumns>
  <tableStyleInfo name="Sprint Planning-style 5" showColumnStripes="0" showFirstColumn="1" showLastColumn="1" showRowStripes="1"/>
</table>
</file>

<file path=xl/tables/table12.xml><?xml version="1.0" encoding="utf-8"?>
<table xmlns="http://schemas.openxmlformats.org/spreadsheetml/2006/main" ref="A2:E18" displayName="Burndown_Chart" name="Burndown_Chart" id="12">
  <tableColumns count="5">
    <tableColumn name="Fecha de Corte" id="1"/>
    <tableColumn name="Semana / Fase" id="2"/>
    <tableColumn name="Puntos Quemados" id="3"/>
    <tableColumn name="Restante REAL" id="4"/>
    <tableColumn name="Restante IDEAL" id="5"/>
  </tableColumns>
  <tableStyleInfo name="Burndown Chart-style" showColumnStripes="0" showFirstColumn="1" showLastColumn="1" showRowStripes="1"/>
</table>
</file>

<file path=xl/tables/table13.xml><?xml version="1.0" encoding="utf-8"?>
<table xmlns="http://schemas.openxmlformats.org/spreadsheetml/2006/main" ref="A2:I20" displayName="Impediment_Log" name="Impediment_Log" id="13">
  <tableColumns count="9">
    <tableColumn name="ID" id="1"/>
    <tableColumn name="Fecha Reporte" id="2"/>
    <tableColumn name="Descripción del Impedimento" id="3"/>
    <tableColumn name="Impacto (Alto/Medio/Bajo)" id="4"/>
    <tableColumn name="Sprint" id="5"/>
    <tableColumn name="Responsable" id="6"/>
    <tableColumn name="Estado" id="7"/>
    <tableColumn name="Fecha Resolución" id="8"/>
    <tableColumn name="Solución Aplicada" id="9"/>
  </tableColumns>
  <tableStyleInfo name="Registro de impedimentos - Impe-style" showColumnStripes="0" showFirstColumn="1" showLastColumn="1" showRowStripes="1"/>
</table>
</file>

<file path=xl/tables/table14.xml><?xml version="1.0" encoding="utf-8"?>
<table xmlns="http://schemas.openxmlformats.org/spreadsheetml/2006/main" ref="A2:F7" displayName="Epicas" name="Epicas" id="14">
  <tableColumns count="6">
    <tableColumn name="Cod. Épica" id="1"/>
    <tableColumn name="Nombre de la Épica" id="2"/>
    <tableColumn name="Objetivo" id="3"/>
    <tableColumn name="Historias Asociadas" id="4"/>
    <tableColumn name="Valor para el Negocio" id="5"/>
    <tableColumn name="Definition of Done" id="6"/>
  </tableColumns>
  <tableStyleInfo name="Epicas-style" showColumnStripes="0" showFirstColumn="1" showLastColumn="1" showRowStripes="1"/>
</table>
</file>

<file path=xl/tables/table15.xml><?xml version="1.0" encoding="utf-8"?>
<table xmlns="http://schemas.openxmlformats.org/spreadsheetml/2006/main" ref="A2:F22" displayName="Sprint_Backlog" name="Sprint_Backlog" id="15">
  <tableColumns count="6">
    <tableColumn name="ID" id="1"/>
    <tableColumn name="Historia de Usuario" id="2"/>
    <tableColumn name="Valor para cliente" id="3"/>
    <tableColumn name="Sprint" id="4"/>
    <tableColumn name="Responsable" id="5"/>
    <tableColumn name="Estado" id="6"/>
  </tableColumns>
  <tableStyleInfo name="Backlog-style" showColumnStripes="0" showFirstColumn="1" showLastColumn="1" showRowStripes="1"/>
</table>
</file>

<file path=xl/tables/table16.xml><?xml version="1.0" encoding="utf-8"?>
<table xmlns="http://schemas.openxmlformats.org/spreadsheetml/2006/main" ref="A2:F22" displayName="Backlog_priorizado" name="Backlog_priorizado" id="16">
  <tableColumns count="6">
    <tableColumn name="ID" id="1"/>
    <tableColumn name="Historia de Usuario" id="2"/>
    <tableColumn name="Valor" id="3"/>
    <tableColumn name="Complejidad [1-10]" id="4"/>
    <tableColumn name="Prioridad [1-10]" id="5"/>
    <tableColumn name="Justificación / Sprint" id="6"/>
  </tableColumns>
  <tableStyleInfo name="Backlog Priorizado-style" showColumnStripes="0" showFirstColumn="1" showLastColumn="1" showRowStripes="1"/>
</table>
</file>

<file path=xl/tables/table17.xml><?xml version="1.0" encoding="utf-8"?>
<table xmlns="http://schemas.openxmlformats.org/spreadsheetml/2006/main" ref="A2:F22" displayName="Refinamiento_del_Backlog" name="Refinamiento_del_Backlog" id="17">
  <tableColumns count="6">
    <tableColumn name="ID" id="1"/>
    <tableColumn name="Historia de Usuario" id="2"/>
    <tableColumn name="Detalle / Criterios de Aceptación" id="3"/>
    <tableColumn name="Complejidad (1-10)" id="4"/>
    <tableColumn name="Prioridad (1-10)" id="5"/>
    <tableColumn name="Estado" id="6"/>
  </tableColumns>
  <tableStyleInfo name="Refinamiento del Backlog-style" showColumnStripes="0" showFirstColumn="1" showLastColumn="1" showRowStripes="1"/>
</table>
</file>

<file path=xl/tables/table18.xml><?xml version="1.0" encoding="utf-8"?>
<table xmlns="http://schemas.openxmlformats.org/spreadsheetml/2006/main" ref="A2:G7" displayName="Refinamiento_del_Sprint" name="Refinamiento_del_Sprint" id="18">
  <tableColumns count="7">
    <tableColumn name="Sprint" id="1"/>
    <tableColumn name="Objetivo" id="2"/>
    <tableColumn name="Historias seleccionadas" id="3"/>
    <tableColumn name="Tareas técnicas" id="4"/>
    <tableColumn name="Apoyo necesario" id="5"/>
    <tableColumn name="Fecha inicio Sprint" id="6"/>
    <tableColumn name="Fecha término Sprint" id="7"/>
  </tableColumns>
  <tableStyleInfo name="Refinamiento del Sprint-style" showColumnStripes="0" showFirstColumn="1" showLastColumn="1" showRowStripes="1"/>
</table>
</file>

<file path=xl/tables/table19.xml><?xml version="1.0" encoding="utf-8"?>
<table xmlns="http://schemas.openxmlformats.org/spreadsheetml/2006/main" ref="A3:F7" displayName="Sprint_priorizado_1" name="Sprint_priorizado_1" id="19">
  <tableColumns count="6">
    <tableColumn name="ID" id="1"/>
    <tableColumn name="Tarea Description" id="2"/>
    <tableColumn name="Responsable" id="3"/>
    <tableColumn name="Estado" id="4"/>
    <tableColumn name="Fecha Real" id="5"/>
    <tableColumn name="Ambiente" id="6"/>
  </tableColumns>
  <tableStyleInfo name="Sprint Priorizado-style" showColumnStripes="0" showFirstColumn="1" showLastColumn="1" showRowStripes="1"/>
</table>
</file>

<file path=xl/tables/table20.xml><?xml version="1.0" encoding="utf-8"?>
<table xmlns="http://schemas.openxmlformats.org/spreadsheetml/2006/main" ref="A9:F17" displayName="Sprint_priorizado_2" name="Sprint_priorizado_2" id="20">
  <tableColumns count="6">
    <tableColumn name="ID" id="1"/>
    <tableColumn name="Tarea Description" id="2"/>
    <tableColumn name="Responsable" id="3"/>
    <tableColumn name="Estado" id="4"/>
    <tableColumn name="Fecha Real" id="5"/>
    <tableColumn name="Ambiente" id="6"/>
  </tableColumns>
  <tableStyleInfo name="Sprint Priorizado-style 2" showColumnStripes="0" showFirstColumn="1" showLastColumn="1" showRowStripes="1"/>
</table>
</file>

<file path=xl/tables/table21.xml><?xml version="1.0" encoding="utf-8"?>
<table xmlns="http://schemas.openxmlformats.org/spreadsheetml/2006/main" ref="A19:F25" displayName="Sprint_priorizado_3" name="Sprint_priorizado_3" id="21">
  <tableColumns count="6">
    <tableColumn name="ID" id="1"/>
    <tableColumn name="Tarea Description" id="2"/>
    <tableColumn name="Responsable" id="3"/>
    <tableColumn name="Estado" id="4"/>
    <tableColumn name="Fecha Real" id="5"/>
    <tableColumn name="Ambiente" id="6"/>
  </tableColumns>
  <tableStyleInfo name="Sprint Priorizado-style 3" showColumnStripes="0" showFirstColumn="1" showLastColumn="1" showRowStripes="1"/>
</table>
</file>

<file path=xl/tables/table22.xml><?xml version="1.0" encoding="utf-8"?>
<table xmlns="http://schemas.openxmlformats.org/spreadsheetml/2006/main" ref="A27:F34" displayName="Sprint_priorizado_4" name="Sprint_priorizado_4" id="22">
  <tableColumns count="6">
    <tableColumn name="ID" id="1"/>
    <tableColumn name="Tarea Description" id="2"/>
    <tableColumn name="Responsable" id="3"/>
    <tableColumn name="Estado" id="4"/>
    <tableColumn name="Fecha Real" id="5"/>
    <tableColumn name="Ambiente" id="6"/>
  </tableColumns>
  <tableStyleInfo name="Sprint Priorizado-style 4" showColumnStripes="0" showFirstColumn="1" showLastColumn="1" showRowStripes="1"/>
</table>
</file>

<file path=xl/tables/table23.xml><?xml version="1.0" encoding="utf-8"?>
<table xmlns="http://schemas.openxmlformats.org/spreadsheetml/2006/main" ref="A36:F42" displayName="Hardening_Sprint_prior._5" name="Hardening_Sprint_prior._5" id="23">
  <tableColumns count="6">
    <tableColumn name="ID" id="1"/>
    <tableColumn name="Tarea Description" id="2"/>
    <tableColumn name="Responsable" id="3"/>
    <tableColumn name="Estado" id="4"/>
    <tableColumn name="Fecha Est." id="5"/>
    <tableColumn name="Ambiente" id="6"/>
  </tableColumns>
  <tableStyleInfo name="Sprint Priorizado-style 5" showColumnStripes="0" showFirstColumn="1" showLastColumn="1" showRowStripes="1"/>
</table>
</file>

<file path=xl/tables/table24.xml><?xml version="1.0" encoding="utf-8"?>
<table xmlns="http://schemas.openxmlformats.org/spreadsheetml/2006/main" ref="A3:F9" displayName="Sprint_1_Priorizado" name="Sprint_1_Priorizado" id="24">
  <tableColumns count="6">
    <tableColumn name="Tarea ID" id="1"/>
    <tableColumn name="Tarea Description" id="2"/>
    <tableColumn name="Responsable" id="3"/>
    <tableColumn name="Estado" id="4"/>
    <tableColumn name="Fecha estimada" id="5"/>
    <tableColumn name="Ambiente" id="6"/>
  </tableColumns>
  <tableStyleInfo name="Sprints priorizados (antig)-style" showColumnStripes="0" showFirstColumn="1" showLastColumn="1" showRowStripes="1"/>
</table>
</file>

<file path=xl/tables/table25.xml><?xml version="1.0" encoding="utf-8"?>
<table xmlns="http://schemas.openxmlformats.org/spreadsheetml/2006/main" ref="A12:F19" displayName="Sprint_2_Priorizado" name="Sprint_2_Priorizado" id="25">
  <tableColumns count="6">
    <tableColumn name="Tarea ID" id="1"/>
    <tableColumn name="Tarea Description" id="2"/>
    <tableColumn name="Responsable" id="3"/>
    <tableColumn name="Estado" id="4"/>
    <tableColumn name="Fecha estimada" id="5"/>
    <tableColumn name="Ambiente" id="6"/>
  </tableColumns>
  <tableStyleInfo name="Sprints priorizados (antig)-style 2" showColumnStripes="0" showFirstColumn="1" showLastColumn="1" showRowStripes="1"/>
</table>
</file>

<file path=xl/tables/table26.xml><?xml version="1.0" encoding="utf-8"?>
<table xmlns="http://schemas.openxmlformats.org/spreadsheetml/2006/main" ref="A22:F29" displayName="Sprint_3_Priorizado" name="Sprint_3_Priorizado" id="26">
  <tableColumns count="6">
    <tableColumn name="Tarea ID" id="1"/>
    <tableColumn name="Tarea Description" id="2"/>
    <tableColumn name="Responsable" id="3"/>
    <tableColumn name="Estado" id="4"/>
    <tableColumn name="Fecha estimada" id="5"/>
    <tableColumn name="Ambiente" id="6"/>
  </tableColumns>
  <tableStyleInfo name="Sprints priorizados (antig)-style 3" showColumnStripes="0" showFirstColumn="1" showLastColumn="1" showRowStripes="1"/>
</table>
</file>

<file path=xl/tables/table27.xml><?xml version="1.0" encoding="utf-8"?>
<table xmlns="http://schemas.openxmlformats.org/spreadsheetml/2006/main" ref="A33:F47" displayName="Sprint_4_Priorizado" name="Sprint_4_Priorizado" id="27">
  <tableColumns count="6">
    <tableColumn name="Tarea ID" id="1"/>
    <tableColumn name="Tarea Description" id="2"/>
    <tableColumn name="Responsable" id="3"/>
    <tableColumn name="Estado" id="4"/>
    <tableColumn name="Fecha estimada" id="5"/>
    <tableColumn name="Ambiente" id="6"/>
  </tableColumns>
  <tableStyleInfo name="Sprints priorizados (antig)-style 4" showColumnStripes="0" showFirstColumn="1" showLastColumn="1" showRowStripes="1"/>
</table>
</file>

<file path=xl/tables/table28.xml><?xml version="1.0" encoding="utf-8"?>
<table xmlns="http://schemas.openxmlformats.org/spreadsheetml/2006/main" ref="A2:F7" displayName="Review" name="Review" id="28">
  <tableColumns count="6">
    <tableColumn name="Historia/Ítem" id="1"/>
    <tableColumn name="Objetivo del Sprint" id="2"/>
    <tableColumn name="Entregado (Sí/No)" id="3"/>
    <tableColumn name="Comentarios del equipo" id="4"/>
    <tableColumn name="Feedback del cliente" id="5"/>
    <tableColumn name="Próximos pasos" id="6"/>
  </tableColumns>
  <tableStyleInfo name="Review-style" showColumnStripes="0" showFirstColumn="1" showLastColumn="1" showRowStripes="1"/>
</table>
</file>

<file path=xl/tables/table29.xml><?xml version="1.0" encoding="utf-8"?>
<table xmlns="http://schemas.openxmlformats.org/spreadsheetml/2006/main" ref="A3:F6" displayName="Retrospectiva_Sprint_1" name="Retrospectiva_Sprint_1" id="29">
  <tableColumns count="6">
    <tableColumn name="Aspecto" id="1"/>
    <tableColumn name="¿Qué salió bien?" id="2"/>
    <tableColumn name="¿Qué salió mal?" id="3"/>
    <tableColumn name="Ideas de mejora" id="4"/>
    <tableColumn name="Acción concreta" id="5"/>
    <tableColumn name="Responsable" id="6"/>
  </tableColumns>
  <tableStyleInfo name="Retrospectivas-style" showColumnStripes="0" showFirstColumn="1" showLastColumn="1" showRowStripes="1"/>
</table>
</file>

<file path=xl/tables/table30.xml><?xml version="1.0" encoding="utf-8"?>
<table xmlns="http://schemas.openxmlformats.org/spreadsheetml/2006/main" ref="A9:F13" displayName="Retrospectiva_Sprint_2" name="Retrospectiva_Sprint_2" id="30">
  <tableColumns count="6">
    <tableColumn name="Aspecto" id="1"/>
    <tableColumn name="¿Qué salió bien?" id="2"/>
    <tableColumn name="¿Qué salió mal?" id="3"/>
    <tableColumn name="Ideas de mejora" id="4"/>
    <tableColumn name="Acción concreta" id="5"/>
    <tableColumn name="Responsable" id="6"/>
  </tableColumns>
  <tableStyleInfo name="Retrospectivas-style 2" showColumnStripes="0" showFirstColumn="1" showLastColumn="1" showRowStripes="1"/>
</table>
</file>

<file path=xl/tables/table31.xml><?xml version="1.0" encoding="utf-8"?>
<table xmlns="http://schemas.openxmlformats.org/spreadsheetml/2006/main" ref="A16:F19" displayName="Retrospectiva_Sprint_3" name="Retrospectiva_Sprint_3" id="31">
  <tableColumns count="6">
    <tableColumn name="Aspecto" id="1"/>
    <tableColumn name="¿Qué salió bien?" id="2"/>
    <tableColumn name="¿Qué salió mal?" id="3"/>
    <tableColumn name="Ideas de mejora" id="4"/>
    <tableColumn name="Acción concreta" id="5"/>
    <tableColumn name="Responsable" id="6"/>
  </tableColumns>
  <tableStyleInfo name="Retrospectivas-style 3" showColumnStripes="0" showFirstColumn="1" showLastColumn="1" showRowStripes="1"/>
</table>
</file>

<file path=xl/tables/table32.xml><?xml version="1.0" encoding="utf-8"?>
<table xmlns="http://schemas.openxmlformats.org/spreadsheetml/2006/main" ref="A22:F25" displayName="Retrospectiva_Sprint_4" name="Retrospectiva_Sprint_4" id="32">
  <tableColumns count="6">
    <tableColumn name="Aspecto" id="1"/>
    <tableColumn name="¿Qué salió bien?" id="2"/>
    <tableColumn name="¿Qué salió mal?" id="3"/>
    <tableColumn name="Ideas de mejora" id="4"/>
    <tableColumn name="Acción concreta" id="5"/>
    <tableColumn name="Responsable" id="6"/>
  </tableColumns>
  <tableStyleInfo name="Retrospectivas-style 4" showColumnStripes="0" showFirstColumn="1" showLastColumn="1" showRowStripes="1"/>
</table>
</file>

<file path=xl/tables/table33.xml><?xml version="1.0" encoding="utf-8"?>
<table xmlns="http://schemas.openxmlformats.org/spreadsheetml/2006/main" ref="A28:F31" displayName="Retrospectiva_Sprint_5" name="Retrospectiva_Sprint_5" id="33">
  <tableColumns count="6">
    <tableColumn name="Aspecto" id="1"/>
    <tableColumn name="¿Qué salió bien?" id="2"/>
    <tableColumn name="¿Qué salió mal?" id="3"/>
    <tableColumn name="Ideas de mejora" id="4"/>
    <tableColumn name="Acción concreta" id="5"/>
    <tableColumn name="Responsable" id="6"/>
  </tableColumns>
  <tableStyleInfo name="Retrospectivas-style 5" showColumnStripes="0" showFirstColumn="1" showLastColumn="1" showRowStripes="1"/>
</table>
</file>

<file path=xl/tables/table34.xml><?xml version="1.0" encoding="utf-8"?>
<table xmlns="http://schemas.openxmlformats.org/spreadsheetml/2006/main" ref="A3:E6" displayName="Sprint_Review_1" name="Sprint_Review_1" id="34">
  <tableColumns count="5">
    <tableColumn name="Historia / Ítem" id="1"/>
    <tableColumn name="Entregado (Sí/No)" id="2"/>
    <tableColumn name="Feedback recibido" id="3"/>
    <tableColumn name="Cambios solicitados" id="4"/>
    <tableColumn name="Impacto en Backlog" id="5"/>
  </tableColumns>
  <tableStyleInfo name="Sprint Reviews-style" showColumnStripes="0" showFirstColumn="1" showLastColumn="1" showRowStripes="1"/>
</table>
</file>

<file path=xl/tables/table35.xml><?xml version="1.0" encoding="utf-8"?>
<table xmlns="http://schemas.openxmlformats.org/spreadsheetml/2006/main" ref="A8:E15" displayName="Sprint_Review_2" name="Sprint_Review_2" id="35">
  <tableColumns count="5">
    <tableColumn name="Historia / Ítem" id="1"/>
    <tableColumn name="Entregado" id="2"/>
    <tableColumn name="Feedback recibido" id="3"/>
    <tableColumn name="Cambios solicitados" id="4"/>
    <tableColumn name="Estado" id="5"/>
  </tableColumns>
  <tableStyleInfo name="Sprint Reviews-style 2" showColumnStripes="0" showFirstColumn="1" showLastColumn="1" showRowStripes="1"/>
</table>
</file>

<file path=xl/tables/table36.xml><?xml version="1.0" encoding="utf-8"?>
<table xmlns="http://schemas.openxmlformats.org/spreadsheetml/2006/main" ref="A17:E21" displayName="Sprint_Review_3" name="Sprint_Review_3" id="36">
  <tableColumns count="5">
    <tableColumn name="Historia / Ítem" id="1"/>
    <tableColumn name="Entregado" id="2"/>
    <tableColumn name="Feedback recibido" id="3"/>
    <tableColumn name="Cambios solicitados" id="4"/>
    <tableColumn name="Estado" id="5"/>
  </tableColumns>
  <tableStyleInfo name="Sprint Reviews-style 3" showColumnStripes="0" showFirstColumn="1" showLastColumn="1" showRowStripes="1"/>
</table>
</file>

<file path=xl/tables/table37.xml><?xml version="1.0" encoding="utf-8"?>
<table xmlns="http://schemas.openxmlformats.org/spreadsheetml/2006/main" ref="A23:E28" displayName="Sprint_Review_4" name="Sprint_Review_4" id="37">
  <tableColumns count="5">
    <tableColumn name="Historia / Ítem" id="1"/>
    <tableColumn name="Entregado" id="2"/>
    <tableColumn name="Feedback recibido" id="3"/>
    <tableColumn name="Cambios solicitados" id="4"/>
    <tableColumn name="Estado" id="5"/>
  </tableColumns>
  <tableStyleInfo name="Sprint Reviews-style 4" showColumnStripes="0" showFirstColumn="1" showLastColumn="1" showRowStripes="1"/>
</table>
</file>

<file path=xl/tables/table38.xml><?xml version="1.0" encoding="utf-8"?>
<table xmlns="http://schemas.openxmlformats.org/spreadsheetml/2006/main" ref="A30:E33" displayName="Sprint_Review_5" name="Sprint_Review_5" id="38">
  <tableColumns count="5">
    <tableColumn name="Historia / Ítem" id="1"/>
    <tableColumn name="Entregado" id="2"/>
    <tableColumn name="Feedback recibido" id="3"/>
    <tableColumn name="Cambios solicitados" id="4"/>
    <tableColumn name="Estado" id="5"/>
  </tableColumns>
  <tableStyleInfo name="Sprint Review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9" Type="http://schemas.openxmlformats.org/officeDocument/2006/relationships/table" Target="../tables/table4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9" Type="http://schemas.openxmlformats.org/officeDocument/2006/relationships/table" Target="../tables/table9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23.xml"/><Relationship Id="rId10" Type="http://schemas.openxmlformats.org/officeDocument/2006/relationships/table" Target="../tables/table22.xml"/><Relationship Id="rId9" Type="http://schemas.openxmlformats.org/officeDocument/2006/relationships/table" Target="../tables/table21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9" Type="http://schemas.openxmlformats.org/officeDocument/2006/relationships/table" Target="../tables/table27.xml"/><Relationship Id="rId6" Type="http://schemas.openxmlformats.org/officeDocument/2006/relationships/table" Target="../tables/table24.xml"/><Relationship Id="rId7" Type="http://schemas.openxmlformats.org/officeDocument/2006/relationships/table" Target="../tables/table25.xml"/><Relationship Id="rId8" Type="http://schemas.openxmlformats.org/officeDocument/2006/relationships/table" Target="../tables/table2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11" Type="http://schemas.openxmlformats.org/officeDocument/2006/relationships/table" Target="../tables/table33.xml"/><Relationship Id="rId10" Type="http://schemas.openxmlformats.org/officeDocument/2006/relationships/table" Target="../tables/table32.xml"/><Relationship Id="rId9" Type="http://schemas.openxmlformats.org/officeDocument/2006/relationships/table" Target="../tables/table31.xml"/><Relationship Id="rId7" Type="http://schemas.openxmlformats.org/officeDocument/2006/relationships/table" Target="../tables/table29.xml"/><Relationship Id="rId8" Type="http://schemas.openxmlformats.org/officeDocument/2006/relationships/table" Target="../tables/table30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11" Type="http://schemas.openxmlformats.org/officeDocument/2006/relationships/table" Target="../tables/table38.xml"/><Relationship Id="rId10" Type="http://schemas.openxmlformats.org/officeDocument/2006/relationships/table" Target="../tables/table37.xml"/><Relationship Id="rId9" Type="http://schemas.openxmlformats.org/officeDocument/2006/relationships/table" Target="../tables/table36.xml"/><Relationship Id="rId7" Type="http://schemas.openxmlformats.org/officeDocument/2006/relationships/table" Target="../tables/table34.xml"/><Relationship Id="rId8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9.63"/>
    <col customWidth="1" min="3" max="3" width="38.75"/>
    <col customWidth="1" min="4" max="4" width="22.0"/>
    <col customWidth="1" min="5" max="5" width="23.25"/>
    <col customWidth="1" min="6" max="6" width="29.5"/>
    <col customWidth="1" min="7" max="7" width="22.63"/>
    <col customWidth="1" min="8" max="8" width="16.75"/>
    <col customWidth="1" min="9" max="9" width="25.88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5">
        <v>45894.0</v>
      </c>
      <c r="B3" s="6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5">
        <v>45895.0</v>
      </c>
      <c r="B4" s="6" t="s">
        <v>10</v>
      </c>
      <c r="C4" s="7" t="s">
        <v>18</v>
      </c>
      <c r="D4" s="7" t="s">
        <v>12</v>
      </c>
      <c r="E4" s="7" t="s">
        <v>19</v>
      </c>
      <c r="F4" s="7" t="s">
        <v>20</v>
      </c>
      <c r="G4" s="7" t="s">
        <v>21</v>
      </c>
      <c r="H4" s="7" t="s">
        <v>16</v>
      </c>
      <c r="I4" s="7" t="s">
        <v>22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5">
        <v>45896.0</v>
      </c>
      <c r="B5" s="6" t="s">
        <v>10</v>
      </c>
      <c r="C5" s="7" t="s">
        <v>23</v>
      </c>
      <c r="D5" s="7" t="s">
        <v>12</v>
      </c>
      <c r="E5" s="7" t="s">
        <v>24</v>
      </c>
      <c r="F5" s="7" t="s">
        <v>25</v>
      </c>
      <c r="G5" s="7" t="s">
        <v>15</v>
      </c>
      <c r="H5" s="7" t="s">
        <v>16</v>
      </c>
      <c r="I5" s="7" t="s">
        <v>26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>
        <v>45897.0</v>
      </c>
      <c r="B6" s="6" t="s">
        <v>10</v>
      </c>
      <c r="C6" s="7" t="s">
        <v>27</v>
      </c>
      <c r="D6" s="7" t="s">
        <v>12</v>
      </c>
      <c r="E6" s="7" t="s">
        <v>28</v>
      </c>
      <c r="F6" s="7" t="s">
        <v>29</v>
      </c>
      <c r="G6" s="7" t="s">
        <v>15</v>
      </c>
      <c r="H6" s="7" t="s">
        <v>16</v>
      </c>
      <c r="I6" s="7" t="s">
        <v>30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5">
        <v>45898.0</v>
      </c>
      <c r="B7" s="6" t="s">
        <v>10</v>
      </c>
      <c r="C7" s="7" t="s">
        <v>31</v>
      </c>
      <c r="D7" s="7" t="s">
        <v>12</v>
      </c>
      <c r="E7" s="7" t="s">
        <v>32</v>
      </c>
      <c r="F7" s="7" t="s">
        <v>33</v>
      </c>
      <c r="G7" s="7" t="s">
        <v>15</v>
      </c>
      <c r="H7" s="7" t="s">
        <v>16</v>
      </c>
      <c r="I7" s="7" t="s">
        <v>34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8">
        <v>45901.0</v>
      </c>
      <c r="B8" s="6" t="s">
        <v>10</v>
      </c>
      <c r="C8" s="7" t="s">
        <v>35</v>
      </c>
      <c r="D8" s="7" t="s">
        <v>12</v>
      </c>
      <c r="E8" s="7" t="s">
        <v>36</v>
      </c>
      <c r="F8" s="7" t="s">
        <v>37</v>
      </c>
      <c r="G8" s="7" t="s">
        <v>15</v>
      </c>
      <c r="H8" s="7" t="s">
        <v>16</v>
      </c>
      <c r="I8" s="7" t="s">
        <v>38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8">
        <v>45902.0</v>
      </c>
      <c r="B9" s="6" t="s">
        <v>10</v>
      </c>
      <c r="C9" s="7" t="s">
        <v>39</v>
      </c>
      <c r="D9" s="7" t="s">
        <v>12</v>
      </c>
      <c r="E9" s="7" t="s">
        <v>40</v>
      </c>
      <c r="F9" s="7" t="s">
        <v>41</v>
      </c>
      <c r="G9" s="7" t="s">
        <v>42</v>
      </c>
      <c r="H9" s="7" t="s">
        <v>16</v>
      </c>
      <c r="I9" s="7" t="s">
        <v>43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8">
        <v>45903.0</v>
      </c>
      <c r="B10" s="6" t="s">
        <v>10</v>
      </c>
      <c r="C10" s="7" t="s">
        <v>44</v>
      </c>
      <c r="D10" s="7" t="s">
        <v>12</v>
      </c>
      <c r="E10" s="7" t="s">
        <v>45</v>
      </c>
      <c r="F10" s="7" t="s">
        <v>46</v>
      </c>
      <c r="G10" s="7" t="s">
        <v>47</v>
      </c>
      <c r="H10" s="7" t="s">
        <v>16</v>
      </c>
      <c r="I10" s="7" t="s">
        <v>48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8">
        <v>45904.0</v>
      </c>
      <c r="B11" s="6" t="s">
        <v>10</v>
      </c>
      <c r="C11" s="7" t="s">
        <v>49</v>
      </c>
      <c r="D11" s="7" t="s">
        <v>12</v>
      </c>
      <c r="E11" s="7" t="s">
        <v>50</v>
      </c>
      <c r="F11" s="7" t="s">
        <v>51</v>
      </c>
      <c r="G11" s="7" t="s">
        <v>52</v>
      </c>
      <c r="H11" s="7" t="s">
        <v>16</v>
      </c>
      <c r="I11" s="7" t="s">
        <v>53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8">
        <v>45905.0</v>
      </c>
      <c r="B12" s="6" t="s">
        <v>10</v>
      </c>
      <c r="C12" s="7" t="s">
        <v>54</v>
      </c>
      <c r="D12" s="7" t="s">
        <v>12</v>
      </c>
      <c r="E12" s="7" t="s">
        <v>55</v>
      </c>
      <c r="F12" s="7" t="s">
        <v>56</v>
      </c>
      <c r="G12" s="7" t="s">
        <v>15</v>
      </c>
      <c r="H12" s="7" t="s">
        <v>16</v>
      </c>
      <c r="I12" s="7" t="s">
        <v>57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9">
        <v>45908.0</v>
      </c>
      <c r="B13" s="10" t="s">
        <v>10</v>
      </c>
      <c r="C13" s="11" t="s">
        <v>58</v>
      </c>
      <c r="D13" s="12" t="s">
        <v>12</v>
      </c>
      <c r="E13" s="11" t="s">
        <v>59</v>
      </c>
      <c r="F13" s="11" t="s">
        <v>60</v>
      </c>
      <c r="G13" s="11" t="s">
        <v>61</v>
      </c>
      <c r="H13" s="7" t="s">
        <v>16</v>
      </c>
      <c r="I13" s="11" t="s">
        <v>62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9">
        <v>45909.0</v>
      </c>
      <c r="B14" s="10" t="s">
        <v>10</v>
      </c>
      <c r="C14" s="11" t="s">
        <v>63</v>
      </c>
      <c r="D14" s="12" t="s">
        <v>12</v>
      </c>
      <c r="E14" s="11" t="s">
        <v>64</v>
      </c>
      <c r="F14" s="11" t="s">
        <v>65</v>
      </c>
      <c r="G14" s="11" t="s">
        <v>15</v>
      </c>
      <c r="H14" s="7" t="s">
        <v>16</v>
      </c>
      <c r="I14" s="11" t="s">
        <v>62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9">
        <v>45910.0</v>
      </c>
      <c r="B15" s="10" t="s">
        <v>10</v>
      </c>
      <c r="C15" s="11" t="s">
        <v>66</v>
      </c>
      <c r="D15" s="12" t="s">
        <v>12</v>
      </c>
      <c r="E15" s="11" t="s">
        <v>64</v>
      </c>
      <c r="F15" s="11" t="s">
        <v>67</v>
      </c>
      <c r="G15" s="11" t="s">
        <v>15</v>
      </c>
      <c r="H15" s="7" t="s">
        <v>16</v>
      </c>
      <c r="I15" s="11" t="s">
        <v>68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9">
        <v>45911.0</v>
      </c>
      <c r="B16" s="10" t="s">
        <v>10</v>
      </c>
      <c r="C16" s="11" t="s">
        <v>69</v>
      </c>
      <c r="D16" s="12" t="s">
        <v>12</v>
      </c>
      <c r="E16" s="11" t="s">
        <v>70</v>
      </c>
      <c r="F16" s="11" t="s">
        <v>71</v>
      </c>
      <c r="G16" s="11" t="s">
        <v>15</v>
      </c>
      <c r="H16" s="7" t="s">
        <v>16</v>
      </c>
      <c r="I16" s="11" t="s">
        <v>72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9">
        <v>45912.0</v>
      </c>
      <c r="B17" s="10" t="s">
        <v>10</v>
      </c>
      <c r="C17" s="11" t="s">
        <v>73</v>
      </c>
      <c r="D17" s="12" t="s">
        <v>12</v>
      </c>
      <c r="E17" s="11" t="s">
        <v>74</v>
      </c>
      <c r="F17" s="11" t="s">
        <v>75</v>
      </c>
      <c r="G17" s="11" t="s">
        <v>61</v>
      </c>
      <c r="H17" s="7" t="s">
        <v>16</v>
      </c>
      <c r="I17" s="11" t="s">
        <v>76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13">
        <v>45915.0</v>
      </c>
      <c r="B18" s="10" t="s">
        <v>77</v>
      </c>
      <c r="C18" s="11" t="s">
        <v>78</v>
      </c>
      <c r="D18" s="12" t="s">
        <v>12</v>
      </c>
      <c r="E18" s="11" t="s">
        <v>79</v>
      </c>
      <c r="F18" s="11" t="s">
        <v>80</v>
      </c>
      <c r="G18" s="11" t="s">
        <v>61</v>
      </c>
      <c r="H18" s="11" t="s">
        <v>16</v>
      </c>
      <c r="I18" s="11" t="s">
        <v>81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13">
        <v>45916.0</v>
      </c>
      <c r="B19" s="10" t="s">
        <v>77</v>
      </c>
      <c r="C19" s="7" t="s">
        <v>82</v>
      </c>
      <c r="D19" s="12" t="s">
        <v>12</v>
      </c>
      <c r="E19" s="7" t="s">
        <v>83</v>
      </c>
      <c r="F19" s="7" t="s">
        <v>84</v>
      </c>
      <c r="G19" s="14" t="s">
        <v>85</v>
      </c>
      <c r="H19" s="14" t="s">
        <v>16</v>
      </c>
      <c r="I19" s="14" t="s">
        <v>86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13">
        <v>45917.0</v>
      </c>
      <c r="B20" s="10" t="s">
        <v>77</v>
      </c>
      <c r="C20" s="7" t="s">
        <v>87</v>
      </c>
      <c r="D20" s="12" t="s">
        <v>12</v>
      </c>
      <c r="E20" s="7" t="s">
        <v>88</v>
      </c>
      <c r="F20" s="7" t="s">
        <v>89</v>
      </c>
      <c r="G20" s="14" t="s">
        <v>90</v>
      </c>
      <c r="H20" s="14" t="s">
        <v>16</v>
      </c>
      <c r="I20" s="14" t="s">
        <v>91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13">
        <v>45918.0</v>
      </c>
      <c r="B21" s="10" t="s">
        <v>77</v>
      </c>
      <c r="C21" s="7" t="s">
        <v>92</v>
      </c>
      <c r="D21" s="12" t="s">
        <v>12</v>
      </c>
      <c r="E21" s="7" t="s">
        <v>93</v>
      </c>
      <c r="F21" s="7" t="s">
        <v>94</v>
      </c>
      <c r="G21" s="14" t="s">
        <v>95</v>
      </c>
      <c r="H21" s="14" t="s">
        <v>16</v>
      </c>
      <c r="I21" s="14" t="s">
        <v>96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13">
        <v>45919.0</v>
      </c>
      <c r="B22" s="10" t="s">
        <v>77</v>
      </c>
      <c r="C22" s="7" t="s">
        <v>97</v>
      </c>
      <c r="D22" s="12" t="s">
        <v>12</v>
      </c>
      <c r="E22" s="7" t="s">
        <v>98</v>
      </c>
      <c r="F22" s="7" t="s">
        <v>99</v>
      </c>
      <c r="G22" s="14" t="s">
        <v>100</v>
      </c>
      <c r="H22" s="14" t="s">
        <v>16</v>
      </c>
      <c r="I22" s="14" t="s">
        <v>101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9">
        <v>45922.0</v>
      </c>
      <c r="B23" s="10" t="s">
        <v>77</v>
      </c>
      <c r="C23" s="7" t="s">
        <v>102</v>
      </c>
      <c r="D23" s="12" t="s">
        <v>12</v>
      </c>
      <c r="E23" s="7" t="s">
        <v>103</v>
      </c>
      <c r="F23" s="7" t="s">
        <v>104</v>
      </c>
      <c r="G23" s="14" t="s">
        <v>105</v>
      </c>
      <c r="H23" s="14" t="s">
        <v>16</v>
      </c>
      <c r="I23" s="14" t="s">
        <v>106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9">
        <v>45923.0</v>
      </c>
      <c r="B24" s="10" t="s">
        <v>77</v>
      </c>
      <c r="C24" s="7" t="s">
        <v>107</v>
      </c>
      <c r="D24" s="12" t="s">
        <v>12</v>
      </c>
      <c r="E24" s="7" t="s">
        <v>108</v>
      </c>
      <c r="F24" s="7" t="s">
        <v>109</v>
      </c>
      <c r="G24" s="14" t="s">
        <v>110</v>
      </c>
      <c r="H24" s="14" t="s">
        <v>16</v>
      </c>
      <c r="I24" s="14" t="s">
        <v>111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9">
        <v>45924.0</v>
      </c>
      <c r="B25" s="10" t="s">
        <v>77</v>
      </c>
      <c r="C25" s="7" t="s">
        <v>112</v>
      </c>
      <c r="D25" s="12" t="s">
        <v>12</v>
      </c>
      <c r="E25" s="7" t="s">
        <v>113</v>
      </c>
      <c r="F25" s="7" t="s">
        <v>114</v>
      </c>
      <c r="G25" s="14" t="s">
        <v>115</v>
      </c>
      <c r="H25" s="14" t="s">
        <v>16</v>
      </c>
      <c r="I25" s="14" t="s">
        <v>116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9">
        <v>45925.0</v>
      </c>
      <c r="B26" s="10" t="s">
        <v>77</v>
      </c>
      <c r="C26" s="7" t="s">
        <v>117</v>
      </c>
      <c r="D26" s="12" t="s">
        <v>12</v>
      </c>
      <c r="E26" s="7" t="s">
        <v>118</v>
      </c>
      <c r="F26" s="7" t="s">
        <v>119</v>
      </c>
      <c r="G26" s="14" t="s">
        <v>120</v>
      </c>
      <c r="H26" s="14" t="s">
        <v>16</v>
      </c>
      <c r="I26" s="14" t="s">
        <v>121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9">
        <v>45926.0</v>
      </c>
      <c r="B27" s="10" t="s">
        <v>77</v>
      </c>
      <c r="C27" s="7" t="s">
        <v>122</v>
      </c>
      <c r="D27" s="12" t="s">
        <v>12</v>
      </c>
      <c r="E27" s="7" t="s">
        <v>123</v>
      </c>
      <c r="F27" s="7" t="s">
        <v>124</v>
      </c>
      <c r="G27" s="14" t="s">
        <v>125</v>
      </c>
      <c r="H27" s="14" t="s">
        <v>16</v>
      </c>
      <c r="I27" s="14" t="s">
        <v>126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13">
        <v>45929.0</v>
      </c>
      <c r="B28" s="10" t="s">
        <v>77</v>
      </c>
      <c r="C28" s="7" t="s">
        <v>127</v>
      </c>
      <c r="D28" s="12" t="s">
        <v>12</v>
      </c>
      <c r="E28" s="7" t="s">
        <v>128</v>
      </c>
      <c r="F28" s="7" t="s">
        <v>129</v>
      </c>
      <c r="G28" s="14" t="s">
        <v>130</v>
      </c>
      <c r="H28" s="14" t="s">
        <v>16</v>
      </c>
      <c r="I28" s="14" t="s">
        <v>131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13">
        <v>45930.0</v>
      </c>
      <c r="B29" s="10" t="s">
        <v>77</v>
      </c>
      <c r="C29" s="7" t="s">
        <v>132</v>
      </c>
      <c r="D29" s="12" t="s">
        <v>12</v>
      </c>
      <c r="E29" s="7" t="s">
        <v>133</v>
      </c>
      <c r="F29" s="7" t="s">
        <v>134</v>
      </c>
      <c r="G29" s="14" t="s">
        <v>135</v>
      </c>
      <c r="H29" s="14" t="s">
        <v>16</v>
      </c>
      <c r="I29" s="14" t="s">
        <v>136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13">
        <v>45931.0</v>
      </c>
      <c r="B30" s="10" t="s">
        <v>77</v>
      </c>
      <c r="C30" s="7" t="s">
        <v>137</v>
      </c>
      <c r="D30" s="12" t="s">
        <v>12</v>
      </c>
      <c r="E30" s="7" t="s">
        <v>138</v>
      </c>
      <c r="F30" s="7" t="s">
        <v>139</v>
      </c>
      <c r="G30" s="14" t="s">
        <v>140</v>
      </c>
      <c r="H30" s="14" t="s">
        <v>16</v>
      </c>
      <c r="I30" s="14" t="s">
        <v>141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13">
        <v>45932.0</v>
      </c>
      <c r="B31" s="10" t="s">
        <v>77</v>
      </c>
      <c r="C31" s="7" t="s">
        <v>142</v>
      </c>
      <c r="D31" s="12" t="s">
        <v>12</v>
      </c>
      <c r="E31" s="7" t="s">
        <v>143</v>
      </c>
      <c r="F31" s="7" t="s">
        <v>144</v>
      </c>
      <c r="G31" s="14" t="s">
        <v>145</v>
      </c>
      <c r="H31" s="14" t="s">
        <v>146</v>
      </c>
      <c r="I31" s="14" t="s">
        <v>147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13">
        <v>45933.0</v>
      </c>
      <c r="B32" s="10" t="s">
        <v>77</v>
      </c>
      <c r="C32" s="7" t="s">
        <v>148</v>
      </c>
      <c r="D32" s="12" t="s">
        <v>12</v>
      </c>
      <c r="E32" s="7" t="s">
        <v>149</v>
      </c>
      <c r="F32" s="7" t="s">
        <v>150</v>
      </c>
      <c r="G32" s="14" t="s">
        <v>151</v>
      </c>
      <c r="H32" s="14" t="s">
        <v>16</v>
      </c>
      <c r="I32" s="14" t="s">
        <v>152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15">
        <v>45936.0</v>
      </c>
      <c r="B33" s="16" t="s">
        <v>153</v>
      </c>
      <c r="C33" s="7" t="s">
        <v>154</v>
      </c>
      <c r="D33" s="17" t="s">
        <v>12</v>
      </c>
      <c r="E33" s="7" t="s">
        <v>155</v>
      </c>
      <c r="F33" s="7" t="s">
        <v>156</v>
      </c>
      <c r="G33" s="14" t="s">
        <v>15</v>
      </c>
      <c r="H33" s="14" t="s">
        <v>16</v>
      </c>
      <c r="I33" s="14" t="s">
        <v>157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15">
        <v>45937.0</v>
      </c>
      <c r="B34" s="16" t="s">
        <v>153</v>
      </c>
      <c r="C34" s="7" t="s">
        <v>158</v>
      </c>
      <c r="D34" s="17" t="s">
        <v>12</v>
      </c>
      <c r="E34" s="7" t="s">
        <v>159</v>
      </c>
      <c r="F34" s="7" t="s">
        <v>160</v>
      </c>
      <c r="G34" s="14" t="s">
        <v>161</v>
      </c>
      <c r="H34" s="14" t="s">
        <v>162</v>
      </c>
      <c r="I34" s="14" t="s">
        <v>163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15">
        <v>45938.0</v>
      </c>
      <c r="B35" s="16" t="s">
        <v>153</v>
      </c>
      <c r="C35" s="7" t="s">
        <v>164</v>
      </c>
      <c r="D35" s="17" t="s">
        <v>12</v>
      </c>
      <c r="E35" s="7" t="s">
        <v>165</v>
      </c>
      <c r="F35" s="7" t="s">
        <v>166</v>
      </c>
      <c r="G35" s="14" t="s">
        <v>167</v>
      </c>
      <c r="H35" s="14" t="s">
        <v>168</v>
      </c>
      <c r="I35" s="14" t="s">
        <v>169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15">
        <v>45939.0</v>
      </c>
      <c r="B36" s="16" t="s">
        <v>153</v>
      </c>
      <c r="C36" s="7" t="s">
        <v>170</v>
      </c>
      <c r="D36" s="17" t="s">
        <v>12</v>
      </c>
      <c r="E36" s="7" t="s">
        <v>171</v>
      </c>
      <c r="F36" s="7" t="s">
        <v>172</v>
      </c>
      <c r="G36" s="14" t="s">
        <v>173</v>
      </c>
      <c r="H36" s="14" t="s">
        <v>174</v>
      </c>
      <c r="I36" s="14" t="s">
        <v>175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15">
        <v>45940.0</v>
      </c>
      <c r="B37" s="16" t="s">
        <v>153</v>
      </c>
      <c r="C37" s="7" t="s">
        <v>176</v>
      </c>
      <c r="D37" s="17" t="s">
        <v>12</v>
      </c>
      <c r="E37" s="7" t="s">
        <v>177</v>
      </c>
      <c r="F37" s="7" t="s">
        <v>178</v>
      </c>
      <c r="G37" s="14" t="s">
        <v>179</v>
      </c>
      <c r="H37" s="14" t="s">
        <v>180</v>
      </c>
      <c r="I37" s="14" t="s">
        <v>181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18">
        <v>45943.0</v>
      </c>
      <c r="B38" s="19" t="s">
        <v>153</v>
      </c>
      <c r="C38" s="7" t="s">
        <v>182</v>
      </c>
      <c r="D38" s="17" t="s">
        <v>12</v>
      </c>
      <c r="E38" s="7" t="s">
        <v>183</v>
      </c>
      <c r="F38" s="7" t="s">
        <v>184</v>
      </c>
      <c r="G38" s="14" t="s">
        <v>185</v>
      </c>
      <c r="H38" s="14" t="s">
        <v>186</v>
      </c>
      <c r="I38" s="14" t="s">
        <v>187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18">
        <v>45944.0</v>
      </c>
      <c r="B39" s="19" t="s">
        <v>153</v>
      </c>
      <c r="C39" s="7" t="s">
        <v>188</v>
      </c>
      <c r="D39" s="17" t="s">
        <v>12</v>
      </c>
      <c r="E39" s="7" t="s">
        <v>189</v>
      </c>
      <c r="F39" s="7" t="s">
        <v>190</v>
      </c>
      <c r="G39" s="14" t="s">
        <v>191</v>
      </c>
      <c r="H39" s="14" t="s">
        <v>192</v>
      </c>
      <c r="I39" s="14" t="s">
        <v>193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18">
        <v>45945.0</v>
      </c>
      <c r="B40" s="16" t="s">
        <v>153</v>
      </c>
      <c r="C40" s="7" t="s">
        <v>194</v>
      </c>
      <c r="D40" s="17" t="s">
        <v>12</v>
      </c>
      <c r="E40" s="7" t="s">
        <v>195</v>
      </c>
      <c r="F40" s="7" t="s">
        <v>196</v>
      </c>
      <c r="G40" s="14" t="s">
        <v>197</v>
      </c>
      <c r="H40" s="14" t="s">
        <v>198</v>
      </c>
      <c r="I40" s="14" t="s">
        <v>199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18">
        <v>45946.0</v>
      </c>
      <c r="B41" s="19" t="s">
        <v>153</v>
      </c>
      <c r="C41" s="7" t="s">
        <v>200</v>
      </c>
      <c r="D41" s="17" t="s">
        <v>12</v>
      </c>
      <c r="E41" s="7" t="s">
        <v>201</v>
      </c>
      <c r="F41" s="7" t="s">
        <v>202</v>
      </c>
      <c r="G41" s="14" t="s">
        <v>203</v>
      </c>
      <c r="H41" s="14" t="s">
        <v>204</v>
      </c>
      <c r="I41" s="14" t="s">
        <v>205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18">
        <v>45947.0</v>
      </c>
      <c r="B42" s="16" t="s">
        <v>153</v>
      </c>
      <c r="C42" s="7" t="s">
        <v>206</v>
      </c>
      <c r="D42" s="17" t="s">
        <v>12</v>
      </c>
      <c r="E42" s="7" t="s">
        <v>207</v>
      </c>
      <c r="F42" s="7" t="s">
        <v>208</v>
      </c>
      <c r="G42" s="14" t="s">
        <v>15</v>
      </c>
      <c r="H42" s="14" t="s">
        <v>209</v>
      </c>
      <c r="I42" s="14" t="s">
        <v>210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15">
        <v>45950.0</v>
      </c>
      <c r="B43" s="16" t="s">
        <v>153</v>
      </c>
      <c r="C43" s="7" t="s">
        <v>211</v>
      </c>
      <c r="D43" s="17" t="s">
        <v>12</v>
      </c>
      <c r="E43" s="7" t="s">
        <v>212</v>
      </c>
      <c r="F43" s="7" t="s">
        <v>213</v>
      </c>
      <c r="G43" s="14" t="s">
        <v>214</v>
      </c>
      <c r="H43" s="14" t="s">
        <v>215</v>
      </c>
      <c r="I43" s="14" t="s">
        <v>216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15">
        <v>45951.0</v>
      </c>
      <c r="B44" s="16" t="s">
        <v>153</v>
      </c>
      <c r="C44" s="7" t="s">
        <v>217</v>
      </c>
      <c r="D44" s="17" t="s">
        <v>12</v>
      </c>
      <c r="E44" s="7" t="s">
        <v>218</v>
      </c>
      <c r="F44" s="7" t="s">
        <v>219</v>
      </c>
      <c r="G44" s="14" t="s">
        <v>220</v>
      </c>
      <c r="H44" s="14" t="s">
        <v>221</v>
      </c>
      <c r="I44" s="14" t="s">
        <v>222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15">
        <v>45952.0</v>
      </c>
      <c r="B45" s="16" t="s">
        <v>153</v>
      </c>
      <c r="C45" s="7" t="s">
        <v>223</v>
      </c>
      <c r="D45" s="17" t="s">
        <v>12</v>
      </c>
      <c r="E45" s="7" t="s">
        <v>224</v>
      </c>
      <c r="F45" s="7" t="s">
        <v>225</v>
      </c>
      <c r="G45" s="14" t="s">
        <v>226</v>
      </c>
      <c r="H45" s="14" t="s">
        <v>227</v>
      </c>
      <c r="I45" s="14" t="s">
        <v>228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15">
        <v>45953.0</v>
      </c>
      <c r="B46" s="19" t="s">
        <v>153</v>
      </c>
      <c r="C46" s="7" t="s">
        <v>229</v>
      </c>
      <c r="D46" s="17" t="s">
        <v>12</v>
      </c>
      <c r="E46" s="7" t="s">
        <v>230</v>
      </c>
      <c r="F46" s="7" t="s">
        <v>231</v>
      </c>
      <c r="G46" s="14" t="s">
        <v>203</v>
      </c>
      <c r="H46" s="14" t="s">
        <v>232</v>
      </c>
      <c r="I46" s="14" t="s">
        <v>233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15">
        <v>45954.0</v>
      </c>
      <c r="B47" s="16" t="s">
        <v>153</v>
      </c>
      <c r="C47" s="7" t="s">
        <v>234</v>
      </c>
      <c r="D47" s="17" t="s">
        <v>12</v>
      </c>
      <c r="E47" s="7" t="s">
        <v>235</v>
      </c>
      <c r="F47" s="7" t="s">
        <v>236</v>
      </c>
      <c r="G47" s="14" t="s">
        <v>15</v>
      </c>
      <c r="H47" s="14" t="s">
        <v>237</v>
      </c>
      <c r="I47" s="14" t="s">
        <v>238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18">
        <v>45957.0</v>
      </c>
      <c r="B48" s="19" t="s">
        <v>239</v>
      </c>
      <c r="C48" s="7" t="s">
        <v>240</v>
      </c>
      <c r="D48" s="17" t="s">
        <v>12</v>
      </c>
      <c r="E48" s="7" t="s">
        <v>241</v>
      </c>
      <c r="F48" s="7" t="s">
        <v>242</v>
      </c>
      <c r="G48" s="14" t="s">
        <v>15</v>
      </c>
      <c r="H48" s="14" t="s">
        <v>243</v>
      </c>
      <c r="I48" s="14" t="s">
        <v>244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18">
        <v>45958.0</v>
      </c>
      <c r="B49" s="19" t="s">
        <v>239</v>
      </c>
      <c r="C49" s="7" t="s">
        <v>245</v>
      </c>
      <c r="D49" s="17" t="s">
        <v>12</v>
      </c>
      <c r="E49" s="7" t="s">
        <v>246</v>
      </c>
      <c r="F49" s="7" t="s">
        <v>247</v>
      </c>
      <c r="G49" s="14" t="s">
        <v>248</v>
      </c>
      <c r="H49" s="14" t="s">
        <v>249</v>
      </c>
      <c r="I49" s="14" t="s">
        <v>250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18">
        <v>45959.0</v>
      </c>
      <c r="B50" s="19" t="s">
        <v>239</v>
      </c>
      <c r="C50" s="7" t="s">
        <v>251</v>
      </c>
      <c r="D50" s="17" t="s">
        <v>12</v>
      </c>
      <c r="E50" s="7" t="s">
        <v>252</v>
      </c>
      <c r="F50" s="7" t="s">
        <v>253</v>
      </c>
      <c r="G50" s="14" t="s">
        <v>254</v>
      </c>
      <c r="H50" s="14" t="s">
        <v>255</v>
      </c>
      <c r="I50" s="14" t="s">
        <v>256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18">
        <v>45960.0</v>
      </c>
      <c r="B51" s="19" t="s">
        <v>239</v>
      </c>
      <c r="C51" s="7" t="s">
        <v>257</v>
      </c>
      <c r="D51" s="17" t="s">
        <v>12</v>
      </c>
      <c r="E51" s="7" t="s">
        <v>258</v>
      </c>
      <c r="F51" s="7" t="s">
        <v>259</v>
      </c>
      <c r="G51" s="14" t="s">
        <v>260</v>
      </c>
      <c r="H51" s="14" t="s">
        <v>261</v>
      </c>
      <c r="I51" s="14" t="s">
        <v>262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18">
        <v>45961.0</v>
      </c>
      <c r="B52" s="19" t="s">
        <v>239</v>
      </c>
      <c r="C52" s="7" t="s">
        <v>263</v>
      </c>
      <c r="D52" s="17" t="s">
        <v>12</v>
      </c>
      <c r="E52" s="7" t="s">
        <v>264</v>
      </c>
      <c r="F52" s="7" t="s">
        <v>265</v>
      </c>
      <c r="G52" s="14" t="s">
        <v>266</v>
      </c>
      <c r="H52" s="14" t="s">
        <v>267</v>
      </c>
      <c r="I52" s="14" t="s">
        <v>268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15">
        <v>45964.0</v>
      </c>
      <c r="B53" s="19" t="s">
        <v>239</v>
      </c>
      <c r="C53" s="7" t="s">
        <v>269</v>
      </c>
      <c r="D53" s="17" t="s">
        <v>12</v>
      </c>
      <c r="E53" s="7" t="s">
        <v>270</v>
      </c>
      <c r="F53" s="7" t="s">
        <v>271</v>
      </c>
      <c r="G53" s="14" t="s">
        <v>272</v>
      </c>
      <c r="H53" s="14" t="s">
        <v>273</v>
      </c>
      <c r="I53" s="14" t="s">
        <v>274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15">
        <v>45965.0</v>
      </c>
      <c r="B54" s="19" t="s">
        <v>239</v>
      </c>
      <c r="C54" s="7" t="s">
        <v>275</v>
      </c>
      <c r="D54" s="17" t="s">
        <v>12</v>
      </c>
      <c r="E54" s="7" t="s">
        <v>276</v>
      </c>
      <c r="F54" s="7" t="s">
        <v>277</v>
      </c>
      <c r="G54" s="14" t="s">
        <v>278</v>
      </c>
      <c r="H54" s="14" t="s">
        <v>279</v>
      </c>
      <c r="I54" s="14" t="s">
        <v>280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15">
        <v>45966.0</v>
      </c>
      <c r="B55" s="19" t="s">
        <v>239</v>
      </c>
      <c r="C55" s="7" t="s">
        <v>281</v>
      </c>
      <c r="D55" s="17" t="s">
        <v>12</v>
      </c>
      <c r="E55" s="7" t="s">
        <v>282</v>
      </c>
      <c r="F55" s="7" t="s">
        <v>283</v>
      </c>
      <c r="G55" s="14" t="s">
        <v>284</v>
      </c>
      <c r="H55" s="14" t="s">
        <v>285</v>
      </c>
      <c r="I55" s="14" t="s">
        <v>286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15">
        <v>45967.0</v>
      </c>
      <c r="B56" s="19" t="s">
        <v>239</v>
      </c>
      <c r="C56" s="7" t="s">
        <v>287</v>
      </c>
      <c r="D56" s="17" t="s">
        <v>12</v>
      </c>
      <c r="E56" s="7" t="s">
        <v>288</v>
      </c>
      <c r="F56" s="7" t="s">
        <v>289</v>
      </c>
      <c r="G56" s="14" t="s">
        <v>290</v>
      </c>
      <c r="H56" s="14" t="s">
        <v>291</v>
      </c>
      <c r="I56" s="14" t="s">
        <v>292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15">
        <v>45968.0</v>
      </c>
      <c r="B57" s="19" t="s">
        <v>239</v>
      </c>
      <c r="C57" s="7" t="s">
        <v>293</v>
      </c>
      <c r="D57" s="17" t="s">
        <v>12</v>
      </c>
      <c r="E57" s="7" t="s">
        <v>294</v>
      </c>
      <c r="F57" s="7" t="s">
        <v>295</v>
      </c>
      <c r="G57" s="14" t="s">
        <v>296</v>
      </c>
      <c r="H57" s="14" t="s">
        <v>255</v>
      </c>
      <c r="I57" s="14" t="s">
        <v>297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18">
        <v>45969.0</v>
      </c>
      <c r="B58" s="19" t="s">
        <v>239</v>
      </c>
      <c r="C58" s="7" t="s">
        <v>298</v>
      </c>
      <c r="D58" s="17" t="s">
        <v>12</v>
      </c>
      <c r="E58" s="7" t="s">
        <v>299</v>
      </c>
      <c r="F58" s="7" t="s">
        <v>300</v>
      </c>
      <c r="G58" s="14" t="s">
        <v>301</v>
      </c>
      <c r="H58" s="14" t="s">
        <v>302</v>
      </c>
      <c r="I58" s="14" t="s">
        <v>303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18">
        <v>45972.0</v>
      </c>
      <c r="B59" s="19" t="s">
        <v>239</v>
      </c>
      <c r="C59" s="7" t="s">
        <v>304</v>
      </c>
      <c r="D59" s="17" t="s">
        <v>12</v>
      </c>
      <c r="E59" s="7" t="s">
        <v>305</v>
      </c>
      <c r="F59" s="7" t="s">
        <v>306</v>
      </c>
      <c r="G59" s="14" t="s">
        <v>307</v>
      </c>
      <c r="H59" s="14" t="s">
        <v>308</v>
      </c>
      <c r="I59" s="14" t="s">
        <v>309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18">
        <v>45973.0</v>
      </c>
      <c r="B60" s="19" t="s">
        <v>239</v>
      </c>
      <c r="C60" s="7" t="s">
        <v>310</v>
      </c>
      <c r="D60" s="17" t="s">
        <v>12</v>
      </c>
      <c r="E60" s="7" t="s">
        <v>311</v>
      </c>
      <c r="F60" s="7" t="s">
        <v>312</v>
      </c>
      <c r="G60" s="14" t="s">
        <v>203</v>
      </c>
      <c r="H60" s="14" t="s">
        <v>313</v>
      </c>
      <c r="I60" s="14" t="s">
        <v>314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18">
        <v>45974.0</v>
      </c>
      <c r="B61" s="19" t="s">
        <v>239</v>
      </c>
      <c r="C61" s="7" t="s">
        <v>315</v>
      </c>
      <c r="D61" s="17" t="s">
        <v>12</v>
      </c>
      <c r="E61" s="7" t="s">
        <v>316</v>
      </c>
      <c r="F61" s="7" t="s">
        <v>317</v>
      </c>
      <c r="G61" s="14" t="s">
        <v>318</v>
      </c>
      <c r="H61" s="14" t="s">
        <v>255</v>
      </c>
      <c r="I61" s="14" t="s">
        <v>319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18">
        <v>45975.0</v>
      </c>
      <c r="B62" s="19" t="s">
        <v>239</v>
      </c>
      <c r="C62" s="7" t="s">
        <v>320</v>
      </c>
      <c r="D62" s="17" t="s">
        <v>12</v>
      </c>
      <c r="E62" s="7" t="s">
        <v>321</v>
      </c>
      <c r="F62" s="7" t="s">
        <v>322</v>
      </c>
      <c r="G62" s="14" t="s">
        <v>15</v>
      </c>
      <c r="H62" s="14" t="s">
        <v>237</v>
      </c>
      <c r="I62" s="14" t="s">
        <v>323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20">
        <v>45978.0</v>
      </c>
      <c r="B63" s="21" t="s">
        <v>324</v>
      </c>
      <c r="C63" s="22" t="s">
        <v>325</v>
      </c>
      <c r="D63" s="22" t="s">
        <v>12</v>
      </c>
      <c r="E63" s="22" t="s">
        <v>326</v>
      </c>
      <c r="F63" s="22" t="s">
        <v>327</v>
      </c>
      <c r="G63" s="22" t="s">
        <v>328</v>
      </c>
      <c r="H63" s="22" t="s">
        <v>329</v>
      </c>
      <c r="I63" s="22" t="s">
        <v>330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20">
        <v>45979.0</v>
      </c>
      <c r="B64" s="21" t="s">
        <v>324</v>
      </c>
      <c r="C64" s="22" t="s">
        <v>331</v>
      </c>
      <c r="D64" s="22" t="s">
        <v>12</v>
      </c>
      <c r="E64" s="22" t="s">
        <v>332</v>
      </c>
      <c r="F64" s="22" t="s">
        <v>333</v>
      </c>
      <c r="G64" s="22" t="s">
        <v>15</v>
      </c>
      <c r="H64" s="22" t="s">
        <v>334</v>
      </c>
      <c r="I64" s="22" t="s">
        <v>335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20">
        <v>45980.0</v>
      </c>
      <c r="B65" s="21" t="s">
        <v>324</v>
      </c>
      <c r="C65" s="22" t="s">
        <v>336</v>
      </c>
      <c r="D65" s="22" t="s">
        <v>12</v>
      </c>
      <c r="E65" s="22" t="s">
        <v>337</v>
      </c>
      <c r="F65" s="22" t="s">
        <v>338</v>
      </c>
      <c r="G65" s="22" t="s">
        <v>339</v>
      </c>
      <c r="H65" s="22" t="s">
        <v>340</v>
      </c>
      <c r="I65" s="22" t="s">
        <v>341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20">
        <v>45981.0</v>
      </c>
      <c r="B66" s="21" t="s">
        <v>324</v>
      </c>
      <c r="C66" s="22" t="s">
        <v>342</v>
      </c>
      <c r="D66" s="22" t="s">
        <v>12</v>
      </c>
      <c r="E66" s="22" t="s">
        <v>343</v>
      </c>
      <c r="F66" s="22" t="s">
        <v>344</v>
      </c>
      <c r="G66" s="22" t="s">
        <v>15</v>
      </c>
      <c r="H66" s="22" t="s">
        <v>345</v>
      </c>
      <c r="I66" s="22" t="s">
        <v>346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20">
        <v>45982.0</v>
      </c>
      <c r="B67" s="21" t="s">
        <v>324</v>
      </c>
      <c r="C67" s="22" t="s">
        <v>347</v>
      </c>
      <c r="D67" s="22" t="s">
        <v>12</v>
      </c>
      <c r="E67" s="22" t="s">
        <v>348</v>
      </c>
      <c r="F67" s="22" t="s">
        <v>349</v>
      </c>
      <c r="G67" s="22" t="s">
        <v>15</v>
      </c>
      <c r="H67" s="22" t="s">
        <v>350</v>
      </c>
      <c r="I67" s="22" t="s">
        <v>351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23">
        <v>45985.0</v>
      </c>
      <c r="B68" s="21" t="s">
        <v>324</v>
      </c>
      <c r="C68" s="22" t="s">
        <v>352</v>
      </c>
      <c r="D68" s="22" t="s">
        <v>12</v>
      </c>
      <c r="E68" s="22" t="s">
        <v>353</v>
      </c>
      <c r="F68" s="22" t="s">
        <v>354</v>
      </c>
      <c r="G68" s="22" t="s">
        <v>355</v>
      </c>
      <c r="H68" s="22" t="s">
        <v>356</v>
      </c>
      <c r="I68" s="22" t="s">
        <v>357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23">
        <v>45986.0</v>
      </c>
      <c r="B69" s="21" t="s">
        <v>324</v>
      </c>
      <c r="C69" s="22" t="s">
        <v>358</v>
      </c>
      <c r="D69" s="22" t="s">
        <v>12</v>
      </c>
      <c r="E69" s="22" t="s">
        <v>359</v>
      </c>
      <c r="F69" s="22" t="s">
        <v>360</v>
      </c>
      <c r="G69" s="22" t="s">
        <v>15</v>
      </c>
      <c r="H69" s="22" t="s">
        <v>361</v>
      </c>
      <c r="I69" s="22" t="s">
        <v>362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23">
        <v>45987.0</v>
      </c>
      <c r="B70" s="21" t="s">
        <v>324</v>
      </c>
      <c r="C70" s="22" t="s">
        <v>363</v>
      </c>
      <c r="D70" s="22" t="s">
        <v>12</v>
      </c>
      <c r="E70" s="22" t="s">
        <v>364</v>
      </c>
      <c r="F70" s="22" t="s">
        <v>365</v>
      </c>
      <c r="G70" s="22" t="s">
        <v>366</v>
      </c>
      <c r="H70" s="22" t="s">
        <v>367</v>
      </c>
      <c r="I70" s="22" t="s">
        <v>368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23">
        <v>45988.0</v>
      </c>
      <c r="B71" s="21" t="s">
        <v>324</v>
      </c>
      <c r="C71" s="22" t="s">
        <v>369</v>
      </c>
      <c r="D71" s="22" t="s">
        <v>12</v>
      </c>
      <c r="E71" s="22" t="s">
        <v>370</v>
      </c>
      <c r="F71" s="22" t="s">
        <v>371</v>
      </c>
      <c r="G71" s="22" t="s">
        <v>372</v>
      </c>
      <c r="H71" s="22" t="s">
        <v>373</v>
      </c>
      <c r="I71" s="22" t="s">
        <v>374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23">
        <v>45989.0</v>
      </c>
      <c r="B72" s="21" t="s">
        <v>324</v>
      </c>
      <c r="C72" s="22" t="s">
        <v>375</v>
      </c>
      <c r="D72" s="22" t="s">
        <v>12</v>
      </c>
      <c r="E72" s="22" t="s">
        <v>376</v>
      </c>
      <c r="F72" s="22" t="s">
        <v>377</v>
      </c>
      <c r="G72" s="22" t="s">
        <v>15</v>
      </c>
      <c r="H72" s="22" t="s">
        <v>378</v>
      </c>
      <c r="I72" s="22" t="s">
        <v>379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20">
        <v>45990.0</v>
      </c>
      <c r="B73" s="21" t="s">
        <v>324</v>
      </c>
      <c r="C73" s="22" t="s">
        <v>380</v>
      </c>
      <c r="D73" s="22" t="s">
        <v>12</v>
      </c>
      <c r="E73" s="22" t="s">
        <v>381</v>
      </c>
      <c r="F73" s="22" t="s">
        <v>382</v>
      </c>
      <c r="G73" s="22" t="s">
        <v>383</v>
      </c>
      <c r="H73" s="22" t="s">
        <v>384</v>
      </c>
      <c r="I73" s="22" t="s">
        <v>385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20">
        <v>45991.0</v>
      </c>
      <c r="B74" s="21" t="s">
        <v>324</v>
      </c>
      <c r="C74" s="22" t="s">
        <v>386</v>
      </c>
      <c r="D74" s="22" t="s">
        <v>12</v>
      </c>
      <c r="E74" s="22" t="s">
        <v>387</v>
      </c>
      <c r="F74" s="22" t="s">
        <v>388</v>
      </c>
      <c r="G74" s="22" t="s">
        <v>389</v>
      </c>
      <c r="H74" s="22" t="s">
        <v>390</v>
      </c>
      <c r="I74" s="22" t="s">
        <v>391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24">
        <v>45992.0</v>
      </c>
      <c r="B75" s="25" t="s">
        <v>392</v>
      </c>
      <c r="C75" s="26" t="s">
        <v>392</v>
      </c>
      <c r="D75" s="27" t="s">
        <v>12</v>
      </c>
      <c r="E75" s="26" t="s">
        <v>393</v>
      </c>
      <c r="F75" s="26" t="s">
        <v>393</v>
      </c>
      <c r="G75" s="26" t="s">
        <v>393</v>
      </c>
      <c r="H75" s="26" t="s">
        <v>393</v>
      </c>
      <c r="I75" s="26" t="s">
        <v>393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24">
        <v>45993.0</v>
      </c>
      <c r="B76" s="25" t="s">
        <v>392</v>
      </c>
      <c r="C76" s="28" t="s">
        <v>392</v>
      </c>
      <c r="D76" s="27" t="s">
        <v>12</v>
      </c>
      <c r="E76" s="26" t="s">
        <v>393</v>
      </c>
      <c r="F76" s="26" t="s">
        <v>393</v>
      </c>
      <c r="G76" s="26" t="s">
        <v>393</v>
      </c>
      <c r="H76" s="26" t="s">
        <v>393</v>
      </c>
      <c r="I76" s="26" t="s">
        <v>393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24">
        <v>45994.0</v>
      </c>
      <c r="B77" s="25" t="s">
        <v>392</v>
      </c>
      <c r="C77" s="28" t="s">
        <v>392</v>
      </c>
      <c r="D77" s="27" t="s">
        <v>12</v>
      </c>
      <c r="E77" s="26" t="s">
        <v>393</v>
      </c>
      <c r="F77" s="26" t="s">
        <v>393</v>
      </c>
      <c r="G77" s="26" t="s">
        <v>393</v>
      </c>
      <c r="H77" s="26" t="s">
        <v>393</v>
      </c>
      <c r="I77" s="26" t="s">
        <v>393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29">
        <v>45995.0</v>
      </c>
      <c r="B78" s="25" t="s">
        <v>392</v>
      </c>
      <c r="C78" s="28" t="s">
        <v>392</v>
      </c>
      <c r="D78" s="27" t="s">
        <v>12</v>
      </c>
      <c r="E78" s="26" t="s">
        <v>393</v>
      </c>
      <c r="F78" s="26" t="s">
        <v>393</v>
      </c>
      <c r="G78" s="26" t="s">
        <v>393</v>
      </c>
      <c r="H78" s="26" t="s">
        <v>393</v>
      </c>
      <c r="I78" s="26" t="s">
        <v>393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30">
        <v>45996.0</v>
      </c>
      <c r="B79" s="31" t="s">
        <v>392</v>
      </c>
      <c r="C79" s="32" t="s">
        <v>394</v>
      </c>
      <c r="D79" s="33" t="s">
        <v>12</v>
      </c>
      <c r="E79" s="34" t="s">
        <v>393</v>
      </c>
      <c r="F79" s="34" t="s">
        <v>393</v>
      </c>
      <c r="G79" s="34" t="s">
        <v>393</v>
      </c>
      <c r="H79" s="34" t="s">
        <v>393</v>
      </c>
      <c r="I79" s="34" t="s">
        <v>393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</sheetData>
  <mergeCells count="1">
    <mergeCell ref="A1:D1"/>
  </mergeCells>
  <dataValidations>
    <dataValidation type="list" allowBlank="1" sqref="D3:D79">
      <formula1>"Matías,Alexander"</formula1>
    </dataValidation>
    <dataValidation type="custom" allowBlank="1" showDropDown="1" sqref="A3:A79">
      <formula1>OR(NOT(ISERROR(DATEVALUE(A3))), AND(ISNUMBER(A3), LEFT(CELL("format", A3))="D"))</formula1>
    </dataValidation>
    <dataValidation type="list" allowBlank="1" sqref="B3:B79">
      <formula1>"Sprint Funcional 1,Sprint Funcional 2,Sprint Funcional 3,Sprint Funcional 4,Hardening Sprint 5,PREPARACION"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9.0"/>
    <col customWidth="1" min="3" max="3" width="29.5"/>
    <col customWidth="1" min="4" max="4" width="21.38"/>
    <col customWidth="1" min="5" max="5" width="36.88"/>
  </cols>
  <sheetData>
    <row r="1">
      <c r="A1" s="1" t="s">
        <v>395</v>
      </c>
      <c r="E1" s="35"/>
    </row>
    <row r="2">
      <c r="A2" s="36"/>
      <c r="F2" s="37"/>
    </row>
    <row r="3" ht="22.5" customHeight="1">
      <c r="A3" s="38" t="s">
        <v>396</v>
      </c>
      <c r="B3" s="38" t="s">
        <v>397</v>
      </c>
      <c r="C3" s="38" t="s">
        <v>398</v>
      </c>
      <c r="D3" s="38" t="s">
        <v>399</v>
      </c>
      <c r="E3" s="38" t="s">
        <v>400</v>
      </c>
    </row>
    <row r="4" ht="22.5" customHeight="1">
      <c r="A4" s="39" t="s">
        <v>401</v>
      </c>
      <c r="B4" s="40"/>
      <c r="C4" s="40"/>
      <c r="D4" s="40"/>
      <c r="E4" s="22" t="s">
        <v>402</v>
      </c>
    </row>
    <row r="5" ht="22.5" customHeight="1">
      <c r="A5" s="40"/>
      <c r="B5" s="40"/>
      <c r="C5" s="40"/>
      <c r="D5" s="40"/>
      <c r="E5" s="22" t="s">
        <v>403</v>
      </c>
    </row>
    <row r="6" ht="22.5" customHeight="1">
      <c r="A6" s="39" t="s">
        <v>404</v>
      </c>
      <c r="B6" s="40"/>
      <c r="C6" s="40"/>
      <c r="D6" s="40"/>
      <c r="E6" s="22" t="s">
        <v>405</v>
      </c>
    </row>
    <row r="7" ht="22.5" customHeight="1">
      <c r="A7" s="40"/>
      <c r="B7" s="40"/>
      <c r="C7" s="40"/>
      <c r="D7" s="40"/>
      <c r="E7" s="22" t="s">
        <v>406</v>
      </c>
    </row>
    <row r="9" ht="22.5" customHeight="1">
      <c r="A9" s="41" t="s">
        <v>396</v>
      </c>
      <c r="B9" s="41" t="s">
        <v>397</v>
      </c>
      <c r="C9" s="41" t="s">
        <v>398</v>
      </c>
      <c r="D9" s="41" t="s">
        <v>399</v>
      </c>
      <c r="E9" s="41" t="s">
        <v>400</v>
      </c>
    </row>
    <row r="10" ht="22.5" customHeight="1">
      <c r="A10" s="39" t="s">
        <v>407</v>
      </c>
      <c r="B10" s="40"/>
      <c r="C10" s="40"/>
      <c r="D10" s="40"/>
      <c r="E10" s="22" t="s">
        <v>408</v>
      </c>
    </row>
    <row r="11" ht="22.5" customHeight="1">
      <c r="A11" s="39" t="s">
        <v>409</v>
      </c>
      <c r="B11" s="40"/>
      <c r="C11" s="40"/>
      <c r="D11" s="40"/>
      <c r="E11" s="22" t="s">
        <v>410</v>
      </c>
    </row>
    <row r="12" ht="22.5" customHeight="1">
      <c r="A12" s="39" t="s">
        <v>411</v>
      </c>
      <c r="B12" s="40"/>
      <c r="C12" s="40"/>
      <c r="D12" s="40"/>
      <c r="E12" s="22" t="s">
        <v>412</v>
      </c>
    </row>
    <row r="13" ht="22.5" customHeight="1">
      <c r="A13" s="40"/>
      <c r="B13" s="40"/>
      <c r="C13" s="40"/>
      <c r="D13" s="40"/>
      <c r="E13" s="22" t="s">
        <v>413</v>
      </c>
    </row>
    <row r="14" ht="22.5" customHeight="1">
      <c r="A14" s="39" t="s">
        <v>414</v>
      </c>
      <c r="B14" s="40"/>
      <c r="C14" s="40"/>
      <c r="D14" s="40"/>
      <c r="E14" s="22" t="s">
        <v>415</v>
      </c>
    </row>
    <row r="15" ht="22.5" customHeight="1">
      <c r="A15" s="40"/>
      <c r="B15" s="40"/>
      <c r="C15" s="40"/>
      <c r="D15" s="40"/>
      <c r="E15" s="22" t="s">
        <v>416</v>
      </c>
    </row>
    <row r="16" ht="22.5" customHeight="1">
      <c r="A16" s="39" t="s">
        <v>417</v>
      </c>
      <c r="B16" s="40"/>
      <c r="C16" s="40"/>
      <c r="D16" s="40"/>
      <c r="E16" s="22" t="s">
        <v>418</v>
      </c>
    </row>
    <row r="17" ht="22.5" customHeight="1">
      <c r="A17" s="39" t="s">
        <v>419</v>
      </c>
      <c r="B17" s="40"/>
      <c r="C17" s="40"/>
      <c r="D17" s="40"/>
      <c r="E17" s="22" t="s">
        <v>420</v>
      </c>
    </row>
    <row r="19" ht="22.5" customHeight="1">
      <c r="A19" s="41" t="s">
        <v>396</v>
      </c>
      <c r="B19" s="41" t="s">
        <v>397</v>
      </c>
      <c r="C19" s="41" t="s">
        <v>398</v>
      </c>
      <c r="D19" s="41" t="s">
        <v>399</v>
      </c>
      <c r="E19" s="41" t="s">
        <v>400</v>
      </c>
    </row>
    <row r="20" ht="22.5" customHeight="1">
      <c r="A20" s="39" t="s">
        <v>421</v>
      </c>
      <c r="B20" s="40"/>
      <c r="C20" s="40"/>
      <c r="D20" s="40"/>
      <c r="E20" s="22" t="s">
        <v>422</v>
      </c>
    </row>
    <row r="21" ht="22.5" customHeight="1">
      <c r="A21" s="39" t="s">
        <v>423</v>
      </c>
      <c r="B21" s="40"/>
      <c r="C21" s="40"/>
      <c r="D21" s="40"/>
      <c r="E21" s="22" t="s">
        <v>424</v>
      </c>
    </row>
    <row r="22" ht="22.5" customHeight="1">
      <c r="A22" s="39" t="s">
        <v>425</v>
      </c>
      <c r="B22" s="40"/>
      <c r="C22" s="40"/>
      <c r="D22" s="40"/>
      <c r="E22" s="22" t="s">
        <v>426</v>
      </c>
    </row>
    <row r="23" ht="22.5" customHeight="1">
      <c r="A23" s="39" t="s">
        <v>427</v>
      </c>
      <c r="B23" s="40"/>
      <c r="C23" s="40"/>
      <c r="D23" s="40"/>
      <c r="E23" s="22" t="s">
        <v>428</v>
      </c>
    </row>
    <row r="24" ht="22.5" customHeight="1">
      <c r="A24" s="42" t="s">
        <v>429</v>
      </c>
      <c r="B24" s="40"/>
      <c r="C24" s="40"/>
      <c r="D24" s="40"/>
      <c r="E24" s="14" t="s">
        <v>430</v>
      </c>
    </row>
    <row r="25" ht="22.5" customHeight="1">
      <c r="A25" s="39" t="s">
        <v>431</v>
      </c>
      <c r="B25" s="40"/>
      <c r="C25" s="40"/>
      <c r="D25" s="40"/>
      <c r="E25" s="22" t="s">
        <v>432</v>
      </c>
    </row>
    <row r="27" ht="22.5" customHeight="1">
      <c r="A27" s="41" t="s">
        <v>396</v>
      </c>
      <c r="B27" s="41" t="s">
        <v>397</v>
      </c>
      <c r="C27" s="41" t="s">
        <v>398</v>
      </c>
      <c r="D27" s="41" t="s">
        <v>399</v>
      </c>
      <c r="E27" s="41" t="s">
        <v>400</v>
      </c>
    </row>
    <row r="28" ht="22.5" customHeight="1">
      <c r="A28" s="39" t="s">
        <v>433</v>
      </c>
      <c r="B28" s="40"/>
      <c r="C28" s="40"/>
      <c r="D28" s="40"/>
      <c r="E28" s="22" t="s">
        <v>434</v>
      </c>
    </row>
    <row r="29" ht="22.5" customHeight="1">
      <c r="A29" s="39" t="s">
        <v>435</v>
      </c>
      <c r="B29" s="40"/>
      <c r="C29" s="40"/>
      <c r="D29" s="40"/>
      <c r="E29" s="22" t="s">
        <v>436</v>
      </c>
    </row>
    <row r="30" ht="22.5" customHeight="1">
      <c r="A30" s="39" t="s">
        <v>437</v>
      </c>
      <c r="B30" s="40"/>
      <c r="C30" s="40"/>
      <c r="D30" s="40"/>
      <c r="E30" s="22" t="s">
        <v>438</v>
      </c>
    </row>
    <row r="31" ht="22.5" customHeight="1">
      <c r="A31" s="39" t="s">
        <v>439</v>
      </c>
      <c r="B31" s="40"/>
      <c r="C31" s="40"/>
      <c r="D31" s="40"/>
      <c r="E31" s="22" t="s">
        <v>440</v>
      </c>
    </row>
    <row r="32" ht="22.5" customHeight="1">
      <c r="A32" s="39" t="s">
        <v>441</v>
      </c>
      <c r="B32" s="40"/>
      <c r="C32" s="40"/>
      <c r="D32" s="40"/>
      <c r="E32" s="22" t="s">
        <v>442</v>
      </c>
    </row>
    <row r="33" ht="22.5" customHeight="1">
      <c r="A33" s="39" t="s">
        <v>443</v>
      </c>
      <c r="B33" s="40"/>
      <c r="C33" s="40"/>
      <c r="D33" s="40"/>
      <c r="E33" s="22" t="s">
        <v>444</v>
      </c>
    </row>
    <row r="35" ht="22.5" customHeight="1">
      <c r="A35" s="41" t="s">
        <v>396</v>
      </c>
      <c r="B35" s="41" t="s">
        <v>397</v>
      </c>
      <c r="C35" s="41" t="s">
        <v>398</v>
      </c>
      <c r="D35" s="41" t="s">
        <v>399</v>
      </c>
      <c r="E35" s="41" t="s">
        <v>400</v>
      </c>
    </row>
    <row r="36" ht="22.5" customHeight="1">
      <c r="A36" s="39" t="s">
        <v>445</v>
      </c>
      <c r="B36" s="40"/>
      <c r="C36" s="40"/>
      <c r="D36" s="40"/>
      <c r="E36" s="39" t="s">
        <v>446</v>
      </c>
    </row>
    <row r="37" ht="22.5" customHeight="1">
      <c r="A37" s="40"/>
      <c r="B37" s="40"/>
      <c r="C37" s="40"/>
      <c r="D37" s="40"/>
      <c r="E37" s="22" t="s">
        <v>447</v>
      </c>
    </row>
    <row r="38" ht="22.5" customHeight="1">
      <c r="A38" s="39" t="s">
        <v>448</v>
      </c>
      <c r="B38" s="40"/>
      <c r="C38" s="40"/>
      <c r="D38" s="40"/>
      <c r="E38" s="22" t="s">
        <v>449</v>
      </c>
    </row>
    <row r="39" ht="22.5" customHeight="1">
      <c r="A39" s="40"/>
      <c r="B39" s="40"/>
      <c r="C39" s="40"/>
      <c r="D39" s="40"/>
      <c r="E39" s="22" t="s">
        <v>450</v>
      </c>
    </row>
    <row r="40" ht="22.5" customHeight="1">
      <c r="A40" s="39" t="s">
        <v>451</v>
      </c>
      <c r="B40" s="40"/>
      <c r="C40" s="43" t="s">
        <v>452</v>
      </c>
      <c r="D40" s="40"/>
      <c r="E40" s="22" t="s">
        <v>453</v>
      </c>
    </row>
    <row r="48">
      <c r="A48" s="44"/>
      <c r="B48" s="44"/>
      <c r="C48" s="44"/>
      <c r="D48" s="44"/>
      <c r="E48" s="44"/>
    </row>
  </sheetData>
  <mergeCells count="2">
    <mergeCell ref="A1:D1"/>
    <mergeCell ref="A2:D2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4.5"/>
    <col customWidth="1" min="3" max="3" width="13.75"/>
    <col customWidth="1" min="4" max="4" width="66.25"/>
    <col customWidth="1" min="5" max="5" width="15.25"/>
  </cols>
  <sheetData>
    <row r="1">
      <c r="A1" s="1" t="s">
        <v>454</v>
      </c>
    </row>
    <row r="2">
      <c r="A2" s="45" t="s">
        <v>455</v>
      </c>
    </row>
    <row r="3">
      <c r="A3" s="46" t="s">
        <v>456</v>
      </c>
    </row>
    <row r="4">
      <c r="A4" s="47"/>
    </row>
    <row r="5" ht="22.5" customHeight="1">
      <c r="A5" s="41" t="s">
        <v>457</v>
      </c>
      <c r="B5" s="41" t="s">
        <v>458</v>
      </c>
      <c r="C5" s="41" t="s">
        <v>459</v>
      </c>
      <c r="D5" s="41" t="s">
        <v>460</v>
      </c>
      <c r="E5" s="41" t="s">
        <v>461</v>
      </c>
    </row>
    <row r="6" ht="22.5" customHeight="1">
      <c r="A6" s="39" t="s">
        <v>462</v>
      </c>
      <c r="B6" s="22" t="s">
        <v>463</v>
      </c>
      <c r="C6" s="22" t="s">
        <v>462</v>
      </c>
      <c r="D6" s="22" t="s">
        <v>464</v>
      </c>
      <c r="E6" s="21" t="s">
        <v>465</v>
      </c>
    </row>
    <row r="7" ht="22.5" customHeight="1">
      <c r="A7" s="39" t="s">
        <v>462</v>
      </c>
      <c r="B7" s="22" t="s">
        <v>466</v>
      </c>
      <c r="C7" s="22" t="s">
        <v>462</v>
      </c>
      <c r="D7" s="22" t="s">
        <v>467</v>
      </c>
      <c r="E7" s="21" t="s">
        <v>465</v>
      </c>
    </row>
    <row r="8" ht="22.5" customHeight="1">
      <c r="A8" s="39" t="s">
        <v>468</v>
      </c>
      <c r="B8" s="22" t="s">
        <v>469</v>
      </c>
      <c r="C8" s="22">
        <v>5.0</v>
      </c>
      <c r="D8" s="22" t="s">
        <v>470</v>
      </c>
      <c r="E8" s="21" t="s">
        <v>471</v>
      </c>
    </row>
    <row r="9">
      <c r="A9" s="45" t="s">
        <v>472</v>
      </c>
    </row>
    <row r="10">
      <c r="A10" s="48" t="s">
        <v>473</v>
      </c>
    </row>
    <row r="11">
      <c r="A11" s="47"/>
    </row>
    <row r="12" ht="22.5" customHeight="1">
      <c r="A12" s="41" t="s">
        <v>457</v>
      </c>
      <c r="B12" s="41" t="s">
        <v>458</v>
      </c>
      <c r="C12" s="41" t="s">
        <v>459</v>
      </c>
      <c r="D12" s="41" t="s">
        <v>460</v>
      </c>
      <c r="E12" s="41" t="s">
        <v>461</v>
      </c>
      <c r="G12" s="44"/>
      <c r="H12" s="44"/>
      <c r="I12" s="44"/>
      <c r="J12" s="44"/>
      <c r="K12" s="44"/>
    </row>
    <row r="13" ht="22.5" customHeight="1">
      <c r="A13" s="39" t="s">
        <v>474</v>
      </c>
      <c r="B13" s="22" t="s">
        <v>475</v>
      </c>
      <c r="C13" s="22">
        <v>5.0</v>
      </c>
      <c r="D13" s="39" t="s">
        <v>476</v>
      </c>
      <c r="E13" s="21" t="s">
        <v>471</v>
      </c>
      <c r="G13" s="49"/>
      <c r="H13" s="44"/>
      <c r="I13" s="44"/>
      <c r="J13" s="49"/>
      <c r="K13" s="44"/>
    </row>
    <row r="14" ht="22.5" customHeight="1">
      <c r="A14" s="39" t="s">
        <v>477</v>
      </c>
      <c r="B14" s="22" t="s">
        <v>478</v>
      </c>
      <c r="C14" s="22">
        <v>8.0</v>
      </c>
      <c r="D14" s="39" t="s">
        <v>479</v>
      </c>
      <c r="E14" s="21" t="s">
        <v>465</v>
      </c>
      <c r="G14" s="49"/>
      <c r="H14" s="44"/>
      <c r="I14" s="44"/>
      <c r="J14" s="49"/>
      <c r="K14" s="44"/>
    </row>
    <row r="15" ht="22.5" customHeight="1">
      <c r="A15" s="39" t="s">
        <v>480</v>
      </c>
      <c r="B15" s="22" t="s">
        <v>481</v>
      </c>
      <c r="C15" s="22">
        <v>5.0</v>
      </c>
      <c r="D15" s="39" t="s">
        <v>482</v>
      </c>
      <c r="E15" s="21" t="s">
        <v>465</v>
      </c>
      <c r="G15" s="49"/>
      <c r="H15" s="44"/>
      <c r="I15" s="44"/>
      <c r="J15" s="49"/>
      <c r="K15" s="44"/>
    </row>
    <row r="16" ht="22.5" customHeight="1">
      <c r="A16" s="39" t="s">
        <v>483</v>
      </c>
      <c r="B16" s="22" t="s">
        <v>484</v>
      </c>
      <c r="C16" s="22">
        <v>3.0</v>
      </c>
      <c r="D16" s="39" t="s">
        <v>485</v>
      </c>
      <c r="E16" s="21" t="s">
        <v>486</v>
      </c>
      <c r="G16" s="49"/>
      <c r="H16" s="44"/>
      <c r="I16" s="44"/>
      <c r="J16" s="49"/>
      <c r="K16" s="44"/>
    </row>
    <row r="17" ht="22.5" customHeight="1">
      <c r="A17" s="39" t="s">
        <v>487</v>
      </c>
      <c r="B17" s="22" t="s">
        <v>488</v>
      </c>
      <c r="C17" s="22">
        <v>5.0</v>
      </c>
      <c r="D17" s="39" t="s">
        <v>489</v>
      </c>
      <c r="E17" s="21" t="s">
        <v>471</v>
      </c>
      <c r="G17" s="49"/>
      <c r="H17" s="44"/>
      <c r="I17" s="44"/>
      <c r="J17" s="49"/>
      <c r="K17" s="44"/>
    </row>
    <row r="18" ht="22.5" customHeight="1">
      <c r="A18" s="39" t="s">
        <v>490</v>
      </c>
      <c r="B18" s="22" t="s">
        <v>491</v>
      </c>
      <c r="C18" s="22">
        <v>8.0</v>
      </c>
      <c r="D18" s="39" t="s">
        <v>492</v>
      </c>
      <c r="E18" s="21" t="s">
        <v>465</v>
      </c>
      <c r="G18" s="49"/>
      <c r="H18" s="44"/>
      <c r="I18" s="44"/>
      <c r="J18" s="49"/>
      <c r="K18" s="44"/>
    </row>
    <row r="19" ht="22.5" customHeight="1">
      <c r="A19" s="39" t="s">
        <v>493</v>
      </c>
      <c r="B19" s="22" t="s">
        <v>494</v>
      </c>
      <c r="C19" s="22">
        <v>2.0</v>
      </c>
      <c r="D19" s="39" t="s">
        <v>495</v>
      </c>
      <c r="E19" s="21" t="s">
        <v>471</v>
      </c>
      <c r="G19" s="49"/>
      <c r="H19" s="44"/>
      <c r="I19" s="44"/>
      <c r="J19" s="49"/>
      <c r="K19" s="44"/>
    </row>
    <row r="20">
      <c r="A20" s="45" t="s">
        <v>496</v>
      </c>
    </row>
    <row r="21">
      <c r="A21" s="50" t="s">
        <v>497</v>
      </c>
    </row>
    <row r="22">
      <c r="A22" s="47"/>
    </row>
    <row r="23" ht="22.5" customHeight="1">
      <c r="A23" s="41" t="s">
        <v>457</v>
      </c>
      <c r="B23" s="41" t="s">
        <v>458</v>
      </c>
      <c r="C23" s="41" t="s">
        <v>459</v>
      </c>
      <c r="D23" s="41" t="s">
        <v>460</v>
      </c>
      <c r="E23" s="41" t="s">
        <v>461</v>
      </c>
      <c r="G23" s="44"/>
      <c r="H23" s="44"/>
      <c r="I23" s="44"/>
      <c r="J23" s="44"/>
      <c r="K23" s="44"/>
    </row>
    <row r="24" ht="22.5" customHeight="1">
      <c r="A24" s="39" t="s">
        <v>498</v>
      </c>
      <c r="B24" s="22" t="s">
        <v>499</v>
      </c>
      <c r="C24" s="22">
        <v>5.0</v>
      </c>
      <c r="D24" s="39" t="s">
        <v>500</v>
      </c>
      <c r="E24" s="21" t="s">
        <v>471</v>
      </c>
      <c r="G24" s="44"/>
      <c r="H24" s="44"/>
      <c r="I24" s="44"/>
      <c r="J24" s="44"/>
      <c r="K24" s="44"/>
    </row>
    <row r="25" ht="22.5" customHeight="1">
      <c r="A25" s="39" t="s">
        <v>501</v>
      </c>
      <c r="B25" s="22" t="s">
        <v>502</v>
      </c>
      <c r="C25" s="22" t="s">
        <v>462</v>
      </c>
      <c r="D25" s="39" t="s">
        <v>503</v>
      </c>
      <c r="E25" s="21" t="s">
        <v>465</v>
      </c>
    </row>
    <row r="26" ht="22.5" customHeight="1">
      <c r="A26" s="39" t="s">
        <v>504</v>
      </c>
      <c r="B26" s="22" t="s">
        <v>505</v>
      </c>
      <c r="C26" s="22" t="s">
        <v>462</v>
      </c>
      <c r="D26" s="39" t="s">
        <v>506</v>
      </c>
      <c r="E26" s="21" t="s">
        <v>471</v>
      </c>
    </row>
    <row r="27" ht="22.5" customHeight="1">
      <c r="A27" s="39" t="s">
        <v>507</v>
      </c>
      <c r="B27" s="22" t="s">
        <v>508</v>
      </c>
      <c r="C27" s="22">
        <v>3.0</v>
      </c>
      <c r="D27" s="39" t="s">
        <v>509</v>
      </c>
      <c r="E27" s="21" t="s">
        <v>471</v>
      </c>
    </row>
    <row r="28" ht="22.5" customHeight="1">
      <c r="A28" s="39" t="s">
        <v>510</v>
      </c>
      <c r="B28" s="22" t="s">
        <v>511</v>
      </c>
      <c r="C28" s="22">
        <v>8.0</v>
      </c>
      <c r="D28" s="39" t="s">
        <v>512</v>
      </c>
      <c r="E28" s="21" t="s">
        <v>465</v>
      </c>
    </row>
    <row r="29" ht="22.5" customHeight="1">
      <c r="A29" s="39" t="s">
        <v>513</v>
      </c>
      <c r="B29" s="22" t="s">
        <v>514</v>
      </c>
      <c r="C29" s="22" t="s">
        <v>462</v>
      </c>
      <c r="D29" s="39" t="s">
        <v>515</v>
      </c>
      <c r="E29" s="21" t="s">
        <v>465</v>
      </c>
    </row>
    <row r="30">
      <c r="A30" s="45" t="s">
        <v>516</v>
      </c>
    </row>
    <row r="31">
      <c r="A31" s="50" t="s">
        <v>517</v>
      </c>
    </row>
    <row r="32">
      <c r="A32" s="47"/>
    </row>
    <row r="33" ht="22.5" customHeight="1">
      <c r="A33" s="41" t="s">
        <v>457</v>
      </c>
      <c r="B33" s="41" t="s">
        <v>458</v>
      </c>
      <c r="C33" s="41" t="s">
        <v>459</v>
      </c>
      <c r="D33" s="41" t="s">
        <v>460</v>
      </c>
      <c r="E33" s="41" t="s">
        <v>461</v>
      </c>
      <c r="G33" s="44"/>
      <c r="H33" s="44"/>
      <c r="I33" s="44"/>
      <c r="J33" s="44"/>
      <c r="K33" s="44"/>
    </row>
    <row r="34" ht="22.5" customHeight="1">
      <c r="A34" s="39" t="s">
        <v>518</v>
      </c>
      <c r="B34" s="22" t="s">
        <v>519</v>
      </c>
      <c r="C34" s="22">
        <v>5.0</v>
      </c>
      <c r="D34" s="39" t="s">
        <v>520</v>
      </c>
      <c r="E34" s="21" t="s">
        <v>465</v>
      </c>
    </row>
    <row r="35" ht="22.5" customHeight="1">
      <c r="A35" s="39" t="s">
        <v>521</v>
      </c>
      <c r="B35" s="22" t="s">
        <v>522</v>
      </c>
      <c r="C35" s="22">
        <v>5.0</v>
      </c>
      <c r="D35" s="39" t="s">
        <v>523</v>
      </c>
      <c r="E35" s="21" t="s">
        <v>471</v>
      </c>
    </row>
    <row r="36" ht="22.5" customHeight="1">
      <c r="A36" s="39" t="s">
        <v>510</v>
      </c>
      <c r="B36" s="22" t="s">
        <v>524</v>
      </c>
      <c r="C36" s="22">
        <v>8.0</v>
      </c>
      <c r="D36" s="39" t="s">
        <v>525</v>
      </c>
      <c r="E36" s="21" t="s">
        <v>465</v>
      </c>
    </row>
    <row r="37" ht="22.5" customHeight="1">
      <c r="A37" s="39" t="s">
        <v>526</v>
      </c>
      <c r="B37" s="22" t="s">
        <v>527</v>
      </c>
      <c r="C37" s="22">
        <v>5.0</v>
      </c>
      <c r="D37" s="39" t="s">
        <v>528</v>
      </c>
      <c r="E37" s="21" t="s">
        <v>465</v>
      </c>
    </row>
    <row r="38" ht="22.5" customHeight="1">
      <c r="A38" s="39" t="s">
        <v>529</v>
      </c>
      <c r="B38" s="22" t="s">
        <v>530</v>
      </c>
      <c r="C38" s="22">
        <v>4.0</v>
      </c>
      <c r="D38" s="39" t="s">
        <v>531</v>
      </c>
      <c r="E38" s="21" t="s">
        <v>471</v>
      </c>
    </row>
    <row r="39" ht="22.5" customHeight="1">
      <c r="A39" s="39" t="s">
        <v>532</v>
      </c>
      <c r="B39" s="22" t="s">
        <v>533</v>
      </c>
      <c r="C39" s="22" t="s">
        <v>462</v>
      </c>
      <c r="D39" s="39" t="s">
        <v>534</v>
      </c>
      <c r="E39" s="21" t="s">
        <v>465</v>
      </c>
    </row>
    <row r="40">
      <c r="A40" s="45" t="s">
        <v>535</v>
      </c>
    </row>
    <row r="41">
      <c r="A41" s="45" t="s">
        <v>536</v>
      </c>
    </row>
    <row r="42">
      <c r="B42" s="47"/>
    </row>
    <row r="43" ht="22.5" customHeight="1">
      <c r="A43" s="41" t="s">
        <v>457</v>
      </c>
      <c r="B43" s="41" t="s">
        <v>537</v>
      </c>
      <c r="C43" s="41" t="s">
        <v>459</v>
      </c>
      <c r="D43" s="41" t="s">
        <v>460</v>
      </c>
      <c r="E43" s="41" t="s">
        <v>461</v>
      </c>
    </row>
    <row r="44" ht="22.5" customHeight="1">
      <c r="A44" s="39" t="s">
        <v>538</v>
      </c>
      <c r="B44" s="22" t="s">
        <v>539</v>
      </c>
      <c r="C44" s="22">
        <v>7.0</v>
      </c>
      <c r="D44" s="39" t="s">
        <v>540</v>
      </c>
      <c r="E44" s="21" t="s">
        <v>486</v>
      </c>
      <c r="G44" s="44"/>
      <c r="H44" s="44"/>
      <c r="I44" s="44"/>
      <c r="J44" s="44"/>
      <c r="K44" s="44"/>
    </row>
    <row r="45" ht="22.5" customHeight="1">
      <c r="A45" s="39" t="s">
        <v>541</v>
      </c>
      <c r="B45" s="22" t="s">
        <v>542</v>
      </c>
      <c r="C45" s="22">
        <v>6.0</v>
      </c>
      <c r="D45" s="39" t="s">
        <v>543</v>
      </c>
      <c r="E45" s="21" t="s">
        <v>465</v>
      </c>
    </row>
    <row r="46" ht="22.5" customHeight="1">
      <c r="A46" s="39" t="s">
        <v>544</v>
      </c>
      <c r="B46" s="22" t="s">
        <v>545</v>
      </c>
      <c r="C46" s="22">
        <v>4.0</v>
      </c>
      <c r="D46" s="39" t="s">
        <v>546</v>
      </c>
      <c r="E46" s="21" t="s">
        <v>471</v>
      </c>
    </row>
  </sheetData>
  <mergeCells count="16">
    <mergeCell ref="A1:E1"/>
    <mergeCell ref="A2:E2"/>
    <mergeCell ref="A3:E3"/>
    <mergeCell ref="A4:E4"/>
    <mergeCell ref="A9:E9"/>
    <mergeCell ref="A10:E10"/>
    <mergeCell ref="A11:E11"/>
    <mergeCell ref="A41:E41"/>
    <mergeCell ref="B42:E42"/>
    <mergeCell ref="A20:E20"/>
    <mergeCell ref="A21:E21"/>
    <mergeCell ref="A22:E22"/>
    <mergeCell ref="A30:E30"/>
    <mergeCell ref="A31:E31"/>
    <mergeCell ref="A32:E32"/>
    <mergeCell ref="A40:E40"/>
  </mergeCells>
  <dataValidations>
    <dataValidation type="list" allowBlank="1" sqref="E6:E8 E34:E39">
      <formula1>"Matías,Alexander"</formula1>
    </dataValidation>
    <dataValidation type="list" allowBlank="1" sqref="E24:E29">
      <formula1>"Alexander,Matías"</formula1>
    </dataValidation>
    <dataValidation type="list" allowBlank="1" sqref="E44:E46">
      <formula1>"Ambos,Matías,Alexander"</formula1>
    </dataValidation>
    <dataValidation type="list" allowBlank="1" sqref="E13:E19">
      <formula1>"Alexander,Matías,Ambos"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88"/>
    <col customWidth="1" min="2" max="2" width="31.38"/>
    <col customWidth="1" min="3" max="3" width="24.63"/>
    <col customWidth="1" min="4" max="4" width="20.63"/>
    <col customWidth="1" min="5" max="5" width="21.25"/>
  </cols>
  <sheetData>
    <row r="1">
      <c r="A1" s="1" t="s">
        <v>547</v>
      </c>
      <c r="G1" s="51"/>
      <c r="H1" s="44"/>
      <c r="I1" s="44"/>
      <c r="J1" s="44"/>
      <c r="K1" s="44"/>
      <c r="L1" s="44"/>
    </row>
    <row r="2" ht="22.5" customHeight="1">
      <c r="A2" s="52" t="s">
        <v>548</v>
      </c>
      <c r="B2" s="52" t="s">
        <v>549</v>
      </c>
      <c r="C2" s="52" t="s">
        <v>550</v>
      </c>
      <c r="D2" s="52" t="s">
        <v>551</v>
      </c>
      <c r="E2" s="53" t="s">
        <v>552</v>
      </c>
      <c r="G2" s="51"/>
      <c r="H2" s="44"/>
      <c r="I2" s="44"/>
      <c r="J2" s="44"/>
      <c r="K2" s="44"/>
      <c r="L2" s="44"/>
    </row>
    <row r="3" ht="22.5" customHeight="1">
      <c r="A3" s="23">
        <v>45894.0</v>
      </c>
      <c r="B3" s="22" t="s">
        <v>553</v>
      </c>
      <c r="C3" s="54">
        <v>0.0</v>
      </c>
      <c r="D3" s="55">
        <v>104.0</v>
      </c>
      <c r="E3" s="56">
        <v>104.0</v>
      </c>
      <c r="G3" s="49"/>
    </row>
    <row r="4" ht="22.5" customHeight="1">
      <c r="A4" s="23">
        <v>45898.0</v>
      </c>
      <c r="B4" s="22" t="s">
        <v>554</v>
      </c>
      <c r="C4" s="54">
        <v>0.0</v>
      </c>
      <c r="D4" s="57">
        <f t="shared" ref="D4:D18" si="1">D3-C4</f>
        <v>104</v>
      </c>
      <c r="E4" s="58">
        <f>104-(104/15)*1</f>
        <v>97.06666667</v>
      </c>
      <c r="G4" s="49"/>
    </row>
    <row r="5" ht="22.5" customHeight="1">
      <c r="A5" s="23">
        <v>45905.0</v>
      </c>
      <c r="B5" s="22" t="s">
        <v>555</v>
      </c>
      <c r="C5" s="54">
        <v>0.0</v>
      </c>
      <c r="D5" s="57">
        <f t="shared" si="1"/>
        <v>104</v>
      </c>
      <c r="E5" s="58">
        <f>104-(104/15)*2</f>
        <v>90.13333333</v>
      </c>
      <c r="G5" s="49"/>
    </row>
    <row r="6" ht="22.5" customHeight="1">
      <c r="A6" s="23">
        <v>45912.0</v>
      </c>
      <c r="B6" s="22" t="s">
        <v>556</v>
      </c>
      <c r="C6" s="54">
        <v>5.0</v>
      </c>
      <c r="D6" s="57">
        <f t="shared" si="1"/>
        <v>99</v>
      </c>
      <c r="E6" s="58">
        <f>104-(104/15)*3</f>
        <v>83.2</v>
      </c>
      <c r="G6" s="49"/>
    </row>
    <row r="7" ht="22.5" customHeight="1">
      <c r="A7" s="23">
        <v>45919.0</v>
      </c>
      <c r="B7" s="22" t="s">
        <v>557</v>
      </c>
      <c r="C7" s="54">
        <v>13.0</v>
      </c>
      <c r="D7" s="57">
        <f t="shared" si="1"/>
        <v>86</v>
      </c>
      <c r="E7" s="58">
        <f>104-(104/15)*4</f>
        <v>76.26666667</v>
      </c>
      <c r="G7" s="49"/>
    </row>
    <row r="8" ht="22.5" customHeight="1">
      <c r="A8" s="23">
        <v>45926.0</v>
      </c>
      <c r="B8" s="22" t="s">
        <v>558</v>
      </c>
      <c r="C8" s="54">
        <v>8.0</v>
      </c>
      <c r="D8" s="57">
        <f t="shared" si="1"/>
        <v>78</v>
      </c>
      <c r="E8" s="58">
        <f>104-(104/15)*5</f>
        <v>69.33333333</v>
      </c>
      <c r="G8" s="49"/>
    </row>
    <row r="9" ht="22.5" customHeight="1">
      <c r="A9" s="23">
        <v>45933.0</v>
      </c>
      <c r="B9" s="22" t="s">
        <v>559</v>
      </c>
      <c r="C9" s="54">
        <v>15.0</v>
      </c>
      <c r="D9" s="57">
        <f t="shared" si="1"/>
        <v>63</v>
      </c>
      <c r="E9" s="58">
        <f>104-(104/15)*6</f>
        <v>62.4</v>
      </c>
      <c r="G9" s="49"/>
    </row>
    <row r="10" ht="22.5" customHeight="1">
      <c r="A10" s="59">
        <v>45940.0</v>
      </c>
      <c r="B10" s="22" t="s">
        <v>560</v>
      </c>
      <c r="C10" s="54">
        <v>11.0</v>
      </c>
      <c r="D10" s="57">
        <f t="shared" si="1"/>
        <v>52</v>
      </c>
      <c r="E10" s="58">
        <f>104-(104/15)*7</f>
        <v>55.46666667</v>
      </c>
    </row>
    <row r="11" ht="22.5" customHeight="1">
      <c r="A11" s="59">
        <v>45947.0</v>
      </c>
      <c r="B11" s="22" t="s">
        <v>561</v>
      </c>
      <c r="C11" s="54">
        <v>0.0</v>
      </c>
      <c r="D11" s="57">
        <f t="shared" si="1"/>
        <v>52</v>
      </c>
      <c r="E11" s="58">
        <f>104-(104/15)*8</f>
        <v>48.53333333</v>
      </c>
    </row>
    <row r="12" ht="22.5" customHeight="1">
      <c r="A12" s="59">
        <v>45954.0</v>
      </c>
      <c r="B12" s="22" t="s">
        <v>562</v>
      </c>
      <c r="C12" s="54">
        <v>8.0</v>
      </c>
      <c r="D12" s="57">
        <f t="shared" si="1"/>
        <v>44</v>
      </c>
      <c r="E12" s="58">
        <f>104-(104/15)*9</f>
        <v>41.6</v>
      </c>
    </row>
    <row r="13" ht="22.5" customHeight="1">
      <c r="A13" s="59">
        <v>45961.0</v>
      </c>
      <c r="B13" s="22" t="s">
        <v>563</v>
      </c>
      <c r="C13" s="54">
        <v>10.0</v>
      </c>
      <c r="D13" s="57">
        <f t="shared" si="1"/>
        <v>34</v>
      </c>
      <c r="E13" s="58">
        <f>104-(104/15)*10</f>
        <v>34.66666667</v>
      </c>
    </row>
    <row r="14" ht="22.5" customHeight="1">
      <c r="A14" s="23">
        <v>45968.0</v>
      </c>
      <c r="B14" s="22" t="s">
        <v>564</v>
      </c>
      <c r="C14" s="54">
        <v>6.0</v>
      </c>
      <c r="D14" s="57">
        <f t="shared" si="1"/>
        <v>28</v>
      </c>
      <c r="E14" s="58">
        <f>104-(104/15)*11</f>
        <v>27.73333333</v>
      </c>
    </row>
    <row r="15" ht="22.5" customHeight="1">
      <c r="A15" s="59">
        <v>45975.0</v>
      </c>
      <c r="B15" s="22" t="s">
        <v>565</v>
      </c>
      <c r="C15" s="54">
        <v>9.0</v>
      </c>
      <c r="D15" s="57">
        <f t="shared" si="1"/>
        <v>19</v>
      </c>
      <c r="E15" s="58">
        <f>104-(104/15)*12</f>
        <v>20.8</v>
      </c>
    </row>
    <row r="16" ht="22.5" customHeight="1">
      <c r="A16" s="59">
        <v>45982.0</v>
      </c>
      <c r="B16" s="22" t="s">
        <v>566</v>
      </c>
      <c r="C16" s="54">
        <v>7.0</v>
      </c>
      <c r="D16" s="57">
        <f t="shared" si="1"/>
        <v>12</v>
      </c>
      <c r="E16" s="58">
        <f>104-(104/15)*13</f>
        <v>13.86666667</v>
      </c>
    </row>
    <row r="17" ht="22.5" customHeight="1">
      <c r="A17" s="59">
        <v>45989.0</v>
      </c>
      <c r="B17" s="22" t="s">
        <v>567</v>
      </c>
      <c r="C17" s="54">
        <v>6.0</v>
      </c>
      <c r="D17" s="57">
        <f t="shared" si="1"/>
        <v>6</v>
      </c>
      <c r="E17" s="58">
        <f>104-(104/15)*14</f>
        <v>6.933333333</v>
      </c>
    </row>
    <row r="18" ht="22.5" customHeight="1">
      <c r="A18" s="23">
        <v>45991.0</v>
      </c>
      <c r="B18" s="22" t="s">
        <v>568</v>
      </c>
      <c r="C18" s="54">
        <v>6.0</v>
      </c>
      <c r="D18" s="57">
        <f t="shared" si="1"/>
        <v>0</v>
      </c>
      <c r="E18" s="56">
        <v>0.0</v>
      </c>
    </row>
    <row r="19">
      <c r="E19" s="60"/>
    </row>
    <row r="20">
      <c r="E20" s="60"/>
    </row>
    <row r="21">
      <c r="E21" s="60"/>
    </row>
    <row r="22">
      <c r="E22" s="60"/>
    </row>
    <row r="23">
      <c r="E23" s="60"/>
    </row>
    <row r="24">
      <c r="E24" s="60"/>
    </row>
    <row r="25">
      <c r="E25" s="60"/>
    </row>
    <row r="26">
      <c r="E26" s="60"/>
    </row>
    <row r="27">
      <c r="E27" s="60"/>
    </row>
    <row r="28">
      <c r="E28" s="60"/>
    </row>
    <row r="29">
      <c r="E29" s="60"/>
    </row>
    <row r="30">
      <c r="E30" s="60"/>
    </row>
    <row r="31">
      <c r="E31" s="60"/>
    </row>
    <row r="32">
      <c r="E32" s="60"/>
    </row>
    <row r="33">
      <c r="E33" s="60"/>
    </row>
    <row r="34">
      <c r="E34" s="60"/>
      <c r="F34" s="51"/>
      <c r="G34" s="44"/>
      <c r="H34" s="44"/>
      <c r="I34" s="44"/>
      <c r="J34" s="44"/>
      <c r="K34" s="44"/>
    </row>
    <row r="35">
      <c r="E35" s="60"/>
      <c r="F35" s="49"/>
      <c r="G35" s="49"/>
      <c r="H35" s="49"/>
      <c r="I35" s="49"/>
      <c r="J35" s="49"/>
      <c r="K35" s="49"/>
    </row>
    <row r="36">
      <c r="E36" s="60"/>
      <c r="F36" s="49"/>
      <c r="G36" s="61"/>
      <c r="H36" s="44"/>
      <c r="I36" s="44"/>
      <c r="J36" s="44"/>
      <c r="K36" s="44"/>
    </row>
    <row r="37">
      <c r="E37" s="60"/>
      <c r="F37" s="49"/>
      <c r="G37" s="61"/>
      <c r="H37" s="44"/>
      <c r="I37" s="44"/>
      <c r="J37" s="62"/>
      <c r="K37" s="62"/>
    </row>
    <row r="38">
      <c r="E38" s="60"/>
      <c r="F38" s="49"/>
      <c r="G38" s="61"/>
      <c r="H38" s="44"/>
      <c r="I38" s="44"/>
      <c r="J38" s="62"/>
      <c r="K38" s="62"/>
    </row>
    <row r="39">
      <c r="E39" s="60"/>
      <c r="F39" s="49"/>
      <c r="G39" s="61"/>
      <c r="H39" s="44"/>
      <c r="I39" s="44"/>
      <c r="J39" s="62"/>
      <c r="K39" s="62"/>
    </row>
    <row r="40">
      <c r="E40" s="60"/>
      <c r="F40" s="49"/>
      <c r="G40" s="61"/>
      <c r="H40" s="44"/>
      <c r="I40" s="44"/>
      <c r="J40" s="62"/>
      <c r="K40" s="62"/>
    </row>
    <row r="41">
      <c r="E41" s="60"/>
      <c r="F41" s="49"/>
      <c r="G41" s="61"/>
      <c r="H41" s="44"/>
      <c r="I41" s="44"/>
      <c r="J41" s="62"/>
      <c r="K41" s="62"/>
    </row>
    <row r="42">
      <c r="E42" s="60"/>
      <c r="F42" s="49"/>
      <c r="G42" s="61"/>
      <c r="H42" s="44"/>
      <c r="I42" s="44"/>
      <c r="J42" s="62"/>
      <c r="K42" s="62"/>
    </row>
    <row r="43">
      <c r="E43" s="60"/>
      <c r="F43" s="49"/>
      <c r="G43" s="63"/>
      <c r="H43" s="44"/>
      <c r="I43" s="44"/>
      <c r="J43" s="62"/>
      <c r="K43" s="62"/>
    </row>
    <row r="44">
      <c r="E44" s="60"/>
      <c r="F44" s="49"/>
      <c r="G44" s="63"/>
      <c r="H44" s="44"/>
      <c r="I44" s="44"/>
      <c r="J44" s="62"/>
      <c r="K44" s="62"/>
    </row>
    <row r="45">
      <c r="E45" s="60"/>
      <c r="F45" s="49"/>
      <c r="G45" s="63"/>
      <c r="H45" s="44"/>
      <c r="I45" s="44"/>
      <c r="J45" s="62"/>
      <c r="K45" s="62"/>
    </row>
    <row r="46">
      <c r="E46" s="60"/>
      <c r="F46" s="49"/>
      <c r="G46" s="63"/>
      <c r="H46" s="44"/>
      <c r="I46" s="44"/>
      <c r="J46" s="62"/>
      <c r="K46" s="62"/>
    </row>
    <row r="47">
      <c r="E47" s="60"/>
      <c r="F47" s="49"/>
      <c r="G47" s="61"/>
      <c r="H47" s="44"/>
      <c r="I47" s="44"/>
      <c r="J47" s="62"/>
      <c r="K47" s="62"/>
    </row>
    <row r="48">
      <c r="E48" s="60"/>
      <c r="F48" s="49"/>
      <c r="G48" s="63"/>
      <c r="H48" s="44"/>
      <c r="I48" s="44"/>
      <c r="J48" s="62"/>
      <c r="K48" s="62"/>
    </row>
    <row r="49">
      <c r="E49" s="60"/>
      <c r="F49" s="49"/>
      <c r="G49" s="63"/>
      <c r="H49" s="44"/>
      <c r="I49" s="44"/>
      <c r="J49" s="62"/>
      <c r="K49" s="62"/>
    </row>
    <row r="50">
      <c r="E50" s="60"/>
      <c r="F50" s="49"/>
      <c r="G50" s="63"/>
      <c r="H50" s="44"/>
      <c r="I50" s="44"/>
      <c r="J50" s="62"/>
      <c r="K50" s="62"/>
    </row>
    <row r="51">
      <c r="E51" s="60"/>
      <c r="F51" s="49"/>
      <c r="G51" s="61"/>
      <c r="H51" s="44"/>
      <c r="I51" s="44"/>
      <c r="J51" s="62"/>
      <c r="K51" s="44"/>
    </row>
    <row r="52">
      <c r="E52" s="60"/>
    </row>
    <row r="53">
      <c r="E53" s="60"/>
    </row>
    <row r="54">
      <c r="E54" s="60"/>
    </row>
    <row r="55">
      <c r="E55" s="60"/>
    </row>
    <row r="56">
      <c r="E56" s="60"/>
    </row>
    <row r="57">
      <c r="E57" s="60"/>
    </row>
    <row r="58">
      <c r="E58" s="60"/>
    </row>
    <row r="59">
      <c r="E59" s="60"/>
    </row>
    <row r="60">
      <c r="E60" s="60"/>
    </row>
    <row r="61">
      <c r="E61" s="60"/>
    </row>
    <row r="62">
      <c r="E62" s="60"/>
    </row>
    <row r="63">
      <c r="E63" s="60"/>
    </row>
    <row r="64">
      <c r="E64" s="60"/>
    </row>
    <row r="65">
      <c r="E65" s="60"/>
    </row>
    <row r="66">
      <c r="E66" s="60"/>
    </row>
    <row r="67">
      <c r="E67" s="60"/>
    </row>
    <row r="68">
      <c r="E68" s="60"/>
    </row>
    <row r="69">
      <c r="E69" s="60"/>
    </row>
    <row r="70">
      <c r="E70" s="60"/>
    </row>
    <row r="71">
      <c r="E71" s="60"/>
    </row>
    <row r="72">
      <c r="E72" s="60"/>
    </row>
    <row r="73">
      <c r="E73" s="60"/>
    </row>
    <row r="74">
      <c r="E74" s="60"/>
    </row>
    <row r="75">
      <c r="E75" s="60"/>
    </row>
    <row r="76">
      <c r="E76" s="60"/>
    </row>
    <row r="77">
      <c r="E77" s="60"/>
    </row>
    <row r="78">
      <c r="E78" s="60"/>
    </row>
    <row r="79">
      <c r="E79" s="60"/>
    </row>
    <row r="80">
      <c r="E80" s="60"/>
    </row>
    <row r="81">
      <c r="E81" s="60"/>
    </row>
    <row r="82">
      <c r="E82" s="60"/>
    </row>
    <row r="83">
      <c r="E83" s="60"/>
    </row>
    <row r="84">
      <c r="E84" s="60"/>
    </row>
    <row r="85">
      <c r="E85" s="60"/>
    </row>
    <row r="86">
      <c r="E86" s="60"/>
    </row>
    <row r="87">
      <c r="E87" s="60"/>
    </row>
    <row r="88">
      <c r="E88" s="60"/>
    </row>
    <row r="89">
      <c r="E89" s="60"/>
    </row>
    <row r="90">
      <c r="E90" s="60"/>
    </row>
    <row r="91">
      <c r="E91" s="60"/>
    </row>
    <row r="92">
      <c r="E92" s="60"/>
    </row>
    <row r="93">
      <c r="E93" s="60"/>
    </row>
    <row r="94">
      <c r="E94" s="60"/>
    </row>
    <row r="95">
      <c r="E95" s="60"/>
    </row>
    <row r="96">
      <c r="E96" s="60"/>
    </row>
    <row r="97">
      <c r="E97" s="60"/>
    </row>
    <row r="98">
      <c r="E98" s="60"/>
    </row>
    <row r="99">
      <c r="E99" s="60"/>
    </row>
    <row r="100">
      <c r="E100" s="60"/>
    </row>
    <row r="101">
      <c r="E101" s="60"/>
    </row>
    <row r="102">
      <c r="E102" s="60"/>
    </row>
    <row r="103">
      <c r="E103" s="60"/>
    </row>
    <row r="104">
      <c r="E104" s="60"/>
    </row>
    <row r="105">
      <c r="E105" s="60"/>
    </row>
    <row r="106">
      <c r="E106" s="60"/>
    </row>
    <row r="107">
      <c r="E107" s="60"/>
    </row>
    <row r="108">
      <c r="E108" s="60"/>
    </row>
    <row r="109">
      <c r="E109" s="60"/>
    </row>
    <row r="110">
      <c r="E110" s="60"/>
    </row>
    <row r="111">
      <c r="E111" s="60"/>
    </row>
    <row r="112">
      <c r="E112" s="60"/>
    </row>
    <row r="113">
      <c r="E113" s="60"/>
    </row>
    <row r="114">
      <c r="E114" s="60"/>
    </row>
    <row r="115">
      <c r="E115" s="60"/>
    </row>
    <row r="116">
      <c r="E116" s="60"/>
    </row>
    <row r="117">
      <c r="E117" s="60"/>
    </row>
    <row r="118">
      <c r="E118" s="60"/>
    </row>
    <row r="119">
      <c r="E119" s="60"/>
    </row>
    <row r="120">
      <c r="E120" s="60"/>
    </row>
    <row r="121">
      <c r="E121" s="60"/>
    </row>
    <row r="122">
      <c r="E122" s="60"/>
    </row>
    <row r="123">
      <c r="E123" s="60"/>
    </row>
    <row r="124">
      <c r="E124" s="60"/>
    </row>
    <row r="125">
      <c r="E125" s="60"/>
    </row>
    <row r="126">
      <c r="E126" s="60"/>
    </row>
    <row r="127">
      <c r="E127" s="60"/>
    </row>
    <row r="128">
      <c r="E128" s="60"/>
    </row>
    <row r="129">
      <c r="E129" s="60"/>
    </row>
    <row r="130">
      <c r="E130" s="60"/>
    </row>
    <row r="131">
      <c r="E131" s="60"/>
    </row>
    <row r="132">
      <c r="E132" s="60"/>
    </row>
    <row r="133">
      <c r="E133" s="60"/>
    </row>
    <row r="134">
      <c r="E134" s="60"/>
    </row>
    <row r="135">
      <c r="E135" s="60"/>
    </row>
    <row r="136">
      <c r="E136" s="60"/>
    </row>
    <row r="137">
      <c r="E137" s="60"/>
    </row>
    <row r="138">
      <c r="E138" s="60"/>
    </row>
    <row r="139">
      <c r="E139" s="60"/>
    </row>
    <row r="140">
      <c r="E140" s="60"/>
    </row>
    <row r="141">
      <c r="E141" s="60"/>
    </row>
    <row r="142">
      <c r="E142" s="60"/>
    </row>
    <row r="143">
      <c r="E143" s="60"/>
    </row>
    <row r="144">
      <c r="E144" s="60"/>
    </row>
    <row r="145">
      <c r="E145" s="60"/>
    </row>
    <row r="146">
      <c r="E146" s="60"/>
    </row>
    <row r="147">
      <c r="E147" s="60"/>
    </row>
    <row r="148">
      <c r="E148" s="60"/>
    </row>
    <row r="149">
      <c r="E149" s="60"/>
    </row>
    <row r="150">
      <c r="E150" s="60"/>
    </row>
    <row r="151">
      <c r="E151" s="60"/>
    </row>
    <row r="152">
      <c r="E152" s="60"/>
    </row>
    <row r="153">
      <c r="E153" s="60"/>
    </row>
    <row r="154">
      <c r="E154" s="60"/>
    </row>
    <row r="155">
      <c r="E155" s="60"/>
    </row>
    <row r="156">
      <c r="E156" s="60"/>
    </row>
    <row r="157">
      <c r="E157" s="60"/>
    </row>
    <row r="158">
      <c r="E158" s="60"/>
    </row>
    <row r="159">
      <c r="E159" s="60"/>
    </row>
    <row r="160">
      <c r="E160" s="60"/>
    </row>
    <row r="161">
      <c r="E161" s="60"/>
    </row>
    <row r="162">
      <c r="E162" s="60"/>
    </row>
    <row r="163">
      <c r="E163" s="60"/>
    </row>
    <row r="164">
      <c r="E164" s="60"/>
    </row>
    <row r="165">
      <c r="E165" s="60"/>
    </row>
    <row r="166">
      <c r="E166" s="60"/>
    </row>
    <row r="167">
      <c r="E167" s="60"/>
    </row>
    <row r="168">
      <c r="E168" s="60"/>
    </row>
    <row r="169">
      <c r="E169" s="60"/>
    </row>
    <row r="170">
      <c r="E170" s="60"/>
    </row>
    <row r="171">
      <c r="E171" s="60"/>
    </row>
    <row r="172">
      <c r="E172" s="60"/>
    </row>
    <row r="173">
      <c r="E173" s="60"/>
    </row>
    <row r="174">
      <c r="E174" s="60"/>
    </row>
    <row r="175">
      <c r="E175" s="60"/>
    </row>
    <row r="176">
      <c r="E176" s="60"/>
    </row>
    <row r="177">
      <c r="E177" s="60"/>
    </row>
    <row r="178">
      <c r="E178" s="60"/>
    </row>
    <row r="179">
      <c r="E179" s="60"/>
    </row>
    <row r="180">
      <c r="E180" s="60"/>
    </row>
    <row r="181">
      <c r="E181" s="60"/>
    </row>
    <row r="182">
      <c r="E182" s="60"/>
    </row>
    <row r="183">
      <c r="E183" s="60"/>
    </row>
    <row r="184">
      <c r="E184" s="60"/>
    </row>
    <row r="185">
      <c r="E185" s="60"/>
    </row>
    <row r="186">
      <c r="E186" s="60"/>
    </row>
    <row r="187">
      <c r="E187" s="60"/>
    </row>
    <row r="188">
      <c r="E188" s="60"/>
    </row>
    <row r="189">
      <c r="E189" s="60"/>
    </row>
    <row r="190">
      <c r="E190" s="60"/>
    </row>
    <row r="191">
      <c r="E191" s="60"/>
    </row>
    <row r="192">
      <c r="E192" s="60"/>
    </row>
    <row r="193">
      <c r="E193" s="60"/>
    </row>
    <row r="194">
      <c r="E194" s="60"/>
    </row>
    <row r="195">
      <c r="E195" s="60"/>
    </row>
    <row r="196">
      <c r="E196" s="60"/>
    </row>
    <row r="197">
      <c r="E197" s="60"/>
    </row>
    <row r="198">
      <c r="E198" s="60"/>
    </row>
    <row r="199">
      <c r="E199" s="60"/>
    </row>
    <row r="200">
      <c r="E200" s="60"/>
    </row>
    <row r="201">
      <c r="E201" s="60"/>
    </row>
    <row r="202">
      <c r="E202" s="60"/>
    </row>
    <row r="203">
      <c r="E203" s="60"/>
    </row>
    <row r="204">
      <c r="E204" s="60"/>
    </row>
    <row r="205">
      <c r="E205" s="60"/>
    </row>
    <row r="206">
      <c r="E206" s="60"/>
    </row>
    <row r="207">
      <c r="E207" s="60"/>
    </row>
    <row r="208">
      <c r="E208" s="60"/>
    </row>
    <row r="209">
      <c r="E209" s="60"/>
    </row>
    <row r="210">
      <c r="E210" s="60"/>
    </row>
    <row r="211">
      <c r="E211" s="60"/>
    </row>
    <row r="212">
      <c r="E212" s="60"/>
    </row>
    <row r="213">
      <c r="E213" s="60"/>
    </row>
    <row r="214">
      <c r="E214" s="60"/>
    </row>
    <row r="215">
      <c r="E215" s="60"/>
    </row>
    <row r="216">
      <c r="E216" s="60"/>
    </row>
    <row r="217">
      <c r="E217" s="60"/>
    </row>
    <row r="218">
      <c r="E218" s="60"/>
    </row>
    <row r="219">
      <c r="E219" s="60"/>
    </row>
    <row r="220">
      <c r="E220" s="60"/>
    </row>
    <row r="221">
      <c r="E221" s="60"/>
    </row>
    <row r="222">
      <c r="E222" s="60"/>
    </row>
    <row r="223">
      <c r="E223" s="60"/>
    </row>
    <row r="224">
      <c r="E224" s="60"/>
    </row>
    <row r="225">
      <c r="E225" s="60"/>
    </row>
    <row r="226">
      <c r="E226" s="60"/>
    </row>
    <row r="227">
      <c r="E227" s="60"/>
    </row>
    <row r="228">
      <c r="E228" s="60"/>
    </row>
    <row r="229">
      <c r="E229" s="60"/>
    </row>
    <row r="230">
      <c r="E230" s="60"/>
    </row>
    <row r="231">
      <c r="E231" s="60"/>
    </row>
    <row r="232">
      <c r="E232" s="60"/>
    </row>
    <row r="233">
      <c r="E233" s="60"/>
    </row>
    <row r="234">
      <c r="E234" s="60"/>
    </row>
    <row r="235">
      <c r="E235" s="60"/>
    </row>
    <row r="236">
      <c r="E236" s="60"/>
    </row>
    <row r="237">
      <c r="E237" s="60"/>
    </row>
    <row r="238">
      <c r="E238" s="60"/>
    </row>
    <row r="239">
      <c r="E239" s="60"/>
    </row>
    <row r="240">
      <c r="E240" s="60"/>
    </row>
    <row r="241">
      <c r="E241" s="60"/>
    </row>
    <row r="242">
      <c r="E242" s="60"/>
    </row>
    <row r="243">
      <c r="E243" s="60"/>
    </row>
    <row r="244">
      <c r="E244" s="60"/>
    </row>
    <row r="245">
      <c r="E245" s="60"/>
    </row>
    <row r="246">
      <c r="E246" s="60"/>
    </row>
    <row r="247">
      <c r="E247" s="60"/>
    </row>
    <row r="248">
      <c r="E248" s="60"/>
    </row>
    <row r="249">
      <c r="E249" s="60"/>
    </row>
    <row r="250">
      <c r="E250" s="60"/>
    </row>
    <row r="251">
      <c r="E251" s="60"/>
    </row>
    <row r="252">
      <c r="E252" s="60"/>
    </row>
    <row r="253">
      <c r="E253" s="60"/>
    </row>
    <row r="254">
      <c r="E254" s="60"/>
    </row>
    <row r="255">
      <c r="E255" s="60"/>
    </row>
    <row r="256">
      <c r="E256" s="60"/>
    </row>
    <row r="257">
      <c r="E257" s="60"/>
    </row>
    <row r="258">
      <c r="E258" s="60"/>
    </row>
    <row r="259">
      <c r="E259" s="60"/>
    </row>
    <row r="260">
      <c r="E260" s="60"/>
    </row>
    <row r="261">
      <c r="E261" s="60"/>
    </row>
    <row r="262">
      <c r="E262" s="60"/>
    </row>
    <row r="263">
      <c r="E263" s="60"/>
    </row>
    <row r="264">
      <c r="E264" s="60"/>
    </row>
    <row r="265">
      <c r="E265" s="60"/>
    </row>
    <row r="266">
      <c r="E266" s="60"/>
    </row>
    <row r="267">
      <c r="E267" s="60"/>
    </row>
    <row r="268">
      <c r="E268" s="60"/>
    </row>
    <row r="269">
      <c r="E269" s="60"/>
    </row>
    <row r="270">
      <c r="E270" s="60"/>
    </row>
    <row r="271">
      <c r="E271" s="60"/>
    </row>
    <row r="272">
      <c r="E272" s="60"/>
    </row>
    <row r="273">
      <c r="E273" s="60"/>
    </row>
    <row r="274">
      <c r="E274" s="60"/>
    </row>
    <row r="275">
      <c r="E275" s="60"/>
    </row>
    <row r="276">
      <c r="E276" s="60"/>
    </row>
    <row r="277">
      <c r="E277" s="60"/>
    </row>
    <row r="278">
      <c r="E278" s="60"/>
    </row>
    <row r="279">
      <c r="E279" s="60"/>
    </row>
    <row r="280">
      <c r="E280" s="60"/>
    </row>
    <row r="281">
      <c r="E281" s="60"/>
    </row>
    <row r="282">
      <c r="E282" s="60"/>
    </row>
    <row r="283">
      <c r="E283" s="60"/>
    </row>
    <row r="284">
      <c r="E284" s="60"/>
    </row>
    <row r="285">
      <c r="E285" s="60"/>
    </row>
    <row r="286">
      <c r="E286" s="60"/>
    </row>
    <row r="287">
      <c r="E287" s="60"/>
    </row>
    <row r="288">
      <c r="E288" s="60"/>
    </row>
    <row r="289">
      <c r="E289" s="60"/>
    </row>
    <row r="290">
      <c r="E290" s="60"/>
    </row>
    <row r="291">
      <c r="E291" s="60"/>
    </row>
    <row r="292">
      <c r="E292" s="60"/>
    </row>
    <row r="293">
      <c r="E293" s="60"/>
    </row>
    <row r="294">
      <c r="E294" s="60"/>
    </row>
    <row r="295">
      <c r="E295" s="60"/>
    </row>
    <row r="296">
      <c r="E296" s="60"/>
    </row>
    <row r="297">
      <c r="E297" s="60"/>
    </row>
    <row r="298">
      <c r="E298" s="60"/>
    </row>
    <row r="299">
      <c r="E299" s="60"/>
    </row>
    <row r="300">
      <c r="E300" s="60"/>
    </row>
    <row r="301">
      <c r="E301" s="60"/>
    </row>
    <row r="302">
      <c r="E302" s="60"/>
    </row>
    <row r="303">
      <c r="E303" s="60"/>
    </row>
    <row r="304">
      <c r="E304" s="60"/>
    </row>
    <row r="305">
      <c r="E305" s="60"/>
    </row>
    <row r="306">
      <c r="E306" s="60"/>
    </row>
    <row r="307">
      <c r="E307" s="60"/>
    </row>
    <row r="308">
      <c r="E308" s="60"/>
    </row>
    <row r="309">
      <c r="E309" s="60"/>
    </row>
    <row r="310">
      <c r="E310" s="60"/>
    </row>
    <row r="311">
      <c r="E311" s="60"/>
    </row>
    <row r="312">
      <c r="E312" s="60"/>
    </row>
    <row r="313">
      <c r="E313" s="60"/>
    </row>
    <row r="314">
      <c r="E314" s="60"/>
    </row>
    <row r="315">
      <c r="E315" s="60"/>
    </row>
    <row r="316">
      <c r="E316" s="60"/>
    </row>
    <row r="317">
      <c r="E317" s="60"/>
    </row>
    <row r="318">
      <c r="E318" s="60"/>
    </row>
    <row r="319">
      <c r="E319" s="60"/>
    </row>
    <row r="320">
      <c r="E320" s="60"/>
    </row>
    <row r="321">
      <c r="E321" s="60"/>
    </row>
    <row r="322">
      <c r="E322" s="60"/>
    </row>
    <row r="323">
      <c r="E323" s="60"/>
    </row>
    <row r="324">
      <c r="E324" s="60"/>
    </row>
    <row r="325">
      <c r="E325" s="60"/>
    </row>
    <row r="326">
      <c r="E326" s="60"/>
    </row>
    <row r="327">
      <c r="E327" s="60"/>
    </row>
    <row r="328">
      <c r="E328" s="60"/>
    </row>
    <row r="329">
      <c r="E329" s="60"/>
    </row>
    <row r="330">
      <c r="E330" s="60"/>
    </row>
    <row r="331">
      <c r="E331" s="60"/>
    </row>
    <row r="332">
      <c r="E332" s="60"/>
    </row>
    <row r="333">
      <c r="E333" s="60"/>
    </row>
    <row r="334">
      <c r="E334" s="60"/>
    </row>
    <row r="335">
      <c r="E335" s="60"/>
    </row>
    <row r="336">
      <c r="E336" s="60"/>
    </row>
    <row r="337">
      <c r="E337" s="60"/>
    </row>
    <row r="338">
      <c r="E338" s="60"/>
    </row>
    <row r="339">
      <c r="E339" s="60"/>
    </row>
    <row r="340">
      <c r="E340" s="60"/>
    </row>
    <row r="341">
      <c r="E341" s="60"/>
    </row>
    <row r="342">
      <c r="E342" s="60"/>
    </row>
    <row r="343">
      <c r="E343" s="60"/>
    </row>
    <row r="344">
      <c r="E344" s="60"/>
    </row>
    <row r="345">
      <c r="E345" s="60"/>
    </row>
    <row r="346">
      <c r="E346" s="60"/>
    </row>
    <row r="347">
      <c r="E347" s="60"/>
    </row>
    <row r="348">
      <c r="E348" s="60"/>
    </row>
    <row r="349">
      <c r="E349" s="60"/>
    </row>
    <row r="350">
      <c r="E350" s="60"/>
    </row>
    <row r="351">
      <c r="E351" s="60"/>
    </row>
    <row r="352">
      <c r="E352" s="60"/>
    </row>
    <row r="353">
      <c r="E353" s="60"/>
    </row>
    <row r="354">
      <c r="E354" s="60"/>
    </row>
    <row r="355">
      <c r="E355" s="60"/>
    </row>
    <row r="356">
      <c r="E356" s="60"/>
    </row>
    <row r="357">
      <c r="E357" s="60"/>
    </row>
    <row r="358">
      <c r="E358" s="60"/>
    </row>
    <row r="359">
      <c r="E359" s="60"/>
    </row>
    <row r="360">
      <c r="E360" s="60"/>
    </row>
    <row r="361">
      <c r="E361" s="60"/>
    </row>
    <row r="362">
      <c r="E362" s="60"/>
    </row>
    <row r="363">
      <c r="E363" s="60"/>
    </row>
    <row r="364">
      <c r="E364" s="60"/>
    </row>
    <row r="365">
      <c r="E365" s="60"/>
    </row>
    <row r="366">
      <c r="E366" s="60"/>
    </row>
    <row r="367">
      <c r="E367" s="60"/>
    </row>
    <row r="368">
      <c r="E368" s="60"/>
    </row>
    <row r="369">
      <c r="E369" s="60"/>
    </row>
    <row r="370">
      <c r="E370" s="60"/>
    </row>
    <row r="371">
      <c r="E371" s="60"/>
    </row>
    <row r="372">
      <c r="E372" s="60"/>
    </row>
    <row r="373">
      <c r="E373" s="60"/>
    </row>
    <row r="374">
      <c r="E374" s="60"/>
    </row>
    <row r="375">
      <c r="E375" s="60"/>
    </row>
    <row r="376">
      <c r="E376" s="60"/>
    </row>
    <row r="377">
      <c r="E377" s="60"/>
    </row>
    <row r="378">
      <c r="E378" s="60"/>
    </row>
    <row r="379">
      <c r="E379" s="60"/>
    </row>
    <row r="380">
      <c r="E380" s="60"/>
    </row>
    <row r="381">
      <c r="E381" s="60"/>
    </row>
    <row r="382">
      <c r="E382" s="60"/>
    </row>
    <row r="383">
      <c r="E383" s="60"/>
    </row>
    <row r="384">
      <c r="E384" s="60"/>
    </row>
    <row r="385">
      <c r="E385" s="60"/>
    </row>
    <row r="386">
      <c r="E386" s="60"/>
    </row>
    <row r="387">
      <c r="E387" s="60"/>
    </row>
    <row r="388">
      <c r="E388" s="60"/>
    </row>
    <row r="389">
      <c r="E389" s="60"/>
    </row>
    <row r="390">
      <c r="E390" s="60"/>
    </row>
    <row r="391">
      <c r="E391" s="60"/>
    </row>
    <row r="392">
      <c r="E392" s="60"/>
    </row>
    <row r="393">
      <c r="E393" s="60"/>
    </row>
    <row r="394">
      <c r="E394" s="60"/>
    </row>
    <row r="395">
      <c r="E395" s="60"/>
    </row>
    <row r="396">
      <c r="E396" s="60"/>
    </row>
    <row r="397">
      <c r="E397" s="60"/>
    </row>
    <row r="398">
      <c r="E398" s="60"/>
    </row>
    <row r="399">
      <c r="E399" s="60"/>
    </row>
    <row r="400">
      <c r="E400" s="60"/>
    </row>
    <row r="401">
      <c r="E401" s="60"/>
    </row>
    <row r="402">
      <c r="E402" s="60"/>
    </row>
    <row r="403">
      <c r="E403" s="60"/>
    </row>
    <row r="404">
      <c r="E404" s="60"/>
    </row>
    <row r="405">
      <c r="E405" s="60"/>
    </row>
    <row r="406">
      <c r="E406" s="60"/>
    </row>
    <row r="407">
      <c r="E407" s="60"/>
    </row>
    <row r="408">
      <c r="E408" s="60"/>
    </row>
    <row r="409">
      <c r="E409" s="60"/>
    </row>
    <row r="410">
      <c r="E410" s="60"/>
    </row>
    <row r="411">
      <c r="E411" s="60"/>
    </row>
    <row r="412">
      <c r="E412" s="60"/>
    </row>
    <row r="413">
      <c r="E413" s="60"/>
    </row>
    <row r="414">
      <c r="E414" s="60"/>
    </row>
    <row r="415">
      <c r="E415" s="60"/>
    </row>
    <row r="416">
      <c r="E416" s="60"/>
    </row>
    <row r="417">
      <c r="E417" s="60"/>
    </row>
    <row r="418">
      <c r="E418" s="60"/>
    </row>
    <row r="419">
      <c r="E419" s="60"/>
    </row>
    <row r="420">
      <c r="E420" s="60"/>
    </row>
    <row r="421">
      <c r="E421" s="60"/>
    </row>
    <row r="422">
      <c r="E422" s="60"/>
    </row>
    <row r="423">
      <c r="E423" s="60"/>
    </row>
    <row r="424">
      <c r="E424" s="60"/>
    </row>
    <row r="425">
      <c r="E425" s="60"/>
    </row>
    <row r="426">
      <c r="E426" s="60"/>
    </row>
    <row r="427">
      <c r="E427" s="60"/>
    </row>
    <row r="428">
      <c r="E428" s="60"/>
    </row>
    <row r="429">
      <c r="E429" s="60"/>
    </row>
    <row r="430">
      <c r="E430" s="60"/>
    </row>
    <row r="431">
      <c r="E431" s="60"/>
    </row>
    <row r="432">
      <c r="E432" s="60"/>
    </row>
    <row r="433">
      <c r="E433" s="60"/>
    </row>
    <row r="434">
      <c r="E434" s="60"/>
    </row>
    <row r="435">
      <c r="E435" s="60"/>
    </row>
    <row r="436">
      <c r="E436" s="60"/>
    </row>
    <row r="437">
      <c r="E437" s="60"/>
    </row>
    <row r="438">
      <c r="E438" s="60"/>
    </row>
    <row r="439">
      <c r="E439" s="60"/>
    </row>
    <row r="440">
      <c r="E440" s="60"/>
    </row>
    <row r="441">
      <c r="E441" s="60"/>
    </row>
    <row r="442">
      <c r="E442" s="60"/>
    </row>
    <row r="443">
      <c r="E443" s="60"/>
    </row>
    <row r="444">
      <c r="E444" s="60"/>
    </row>
    <row r="445">
      <c r="E445" s="60"/>
    </row>
    <row r="446">
      <c r="E446" s="60"/>
    </row>
    <row r="447">
      <c r="E447" s="60"/>
    </row>
    <row r="448">
      <c r="E448" s="60"/>
    </row>
    <row r="449">
      <c r="E449" s="60"/>
    </row>
    <row r="450">
      <c r="E450" s="60"/>
    </row>
    <row r="451">
      <c r="E451" s="60"/>
    </row>
    <row r="452">
      <c r="E452" s="60"/>
    </row>
    <row r="453">
      <c r="E453" s="60"/>
    </row>
    <row r="454">
      <c r="E454" s="60"/>
    </row>
    <row r="455">
      <c r="E455" s="60"/>
    </row>
    <row r="456">
      <c r="E456" s="60"/>
    </row>
    <row r="457">
      <c r="E457" s="60"/>
    </row>
    <row r="458">
      <c r="E458" s="60"/>
    </row>
    <row r="459">
      <c r="E459" s="60"/>
    </row>
    <row r="460">
      <c r="E460" s="60"/>
    </row>
    <row r="461">
      <c r="E461" s="60"/>
    </row>
    <row r="462">
      <c r="E462" s="60"/>
    </row>
    <row r="463">
      <c r="E463" s="60"/>
    </row>
    <row r="464">
      <c r="E464" s="60"/>
    </row>
    <row r="465">
      <c r="E465" s="60"/>
    </row>
    <row r="466">
      <c r="E466" s="60"/>
    </row>
    <row r="467">
      <c r="E467" s="60"/>
    </row>
    <row r="468">
      <c r="E468" s="60"/>
    </row>
    <row r="469">
      <c r="E469" s="60"/>
    </row>
    <row r="470">
      <c r="E470" s="60"/>
    </row>
    <row r="471">
      <c r="E471" s="60"/>
    </row>
    <row r="472">
      <c r="E472" s="60"/>
    </row>
    <row r="473">
      <c r="E473" s="60"/>
    </row>
    <row r="474">
      <c r="E474" s="60"/>
    </row>
    <row r="475">
      <c r="E475" s="60"/>
    </row>
    <row r="476">
      <c r="E476" s="60"/>
    </row>
    <row r="477">
      <c r="E477" s="60"/>
    </row>
    <row r="478">
      <c r="E478" s="60"/>
    </row>
    <row r="479">
      <c r="E479" s="60"/>
    </row>
    <row r="480">
      <c r="E480" s="60"/>
    </row>
    <row r="481">
      <c r="E481" s="60"/>
    </row>
    <row r="482">
      <c r="E482" s="60"/>
    </row>
    <row r="483">
      <c r="E483" s="60"/>
    </row>
    <row r="484">
      <c r="E484" s="60"/>
    </row>
    <row r="485">
      <c r="E485" s="60"/>
    </row>
    <row r="486">
      <c r="E486" s="60"/>
    </row>
    <row r="487">
      <c r="E487" s="60"/>
    </row>
    <row r="488">
      <c r="E488" s="60"/>
    </row>
    <row r="489">
      <c r="E489" s="60"/>
    </row>
    <row r="490">
      <c r="E490" s="60"/>
    </row>
    <row r="491">
      <c r="E491" s="60"/>
    </row>
    <row r="492">
      <c r="E492" s="60"/>
    </row>
    <row r="493">
      <c r="E493" s="60"/>
    </row>
    <row r="494">
      <c r="E494" s="60"/>
    </row>
    <row r="495">
      <c r="E495" s="60"/>
    </row>
    <row r="496">
      <c r="E496" s="60"/>
    </row>
    <row r="497">
      <c r="E497" s="60"/>
    </row>
    <row r="498">
      <c r="E498" s="60"/>
    </row>
    <row r="499">
      <c r="E499" s="60"/>
    </row>
    <row r="500">
      <c r="E500" s="60"/>
    </row>
    <row r="501">
      <c r="E501" s="60"/>
    </row>
    <row r="502">
      <c r="E502" s="60"/>
    </row>
    <row r="503">
      <c r="E503" s="60"/>
    </row>
    <row r="504">
      <c r="E504" s="60"/>
    </row>
    <row r="505">
      <c r="E505" s="60"/>
    </row>
    <row r="506">
      <c r="E506" s="60"/>
    </row>
    <row r="507">
      <c r="E507" s="60"/>
    </row>
    <row r="508">
      <c r="E508" s="60"/>
    </row>
    <row r="509">
      <c r="E509" s="60"/>
    </row>
    <row r="510">
      <c r="E510" s="60"/>
    </row>
    <row r="511">
      <c r="E511" s="60"/>
    </row>
    <row r="512">
      <c r="E512" s="60"/>
    </row>
    <row r="513">
      <c r="E513" s="60"/>
    </row>
    <row r="514">
      <c r="E514" s="60"/>
    </row>
    <row r="515">
      <c r="E515" s="60"/>
    </row>
    <row r="516">
      <c r="E516" s="60"/>
    </row>
    <row r="517">
      <c r="E517" s="60"/>
    </row>
    <row r="518">
      <c r="E518" s="60"/>
    </row>
    <row r="519">
      <c r="E519" s="60"/>
    </row>
    <row r="520">
      <c r="E520" s="60"/>
    </row>
    <row r="521">
      <c r="E521" s="60"/>
    </row>
    <row r="522">
      <c r="E522" s="60"/>
    </row>
    <row r="523">
      <c r="E523" s="60"/>
    </row>
    <row r="524">
      <c r="E524" s="60"/>
    </row>
    <row r="525">
      <c r="E525" s="60"/>
    </row>
    <row r="526">
      <c r="E526" s="60"/>
    </row>
    <row r="527">
      <c r="E527" s="60"/>
    </row>
    <row r="528">
      <c r="E528" s="60"/>
    </row>
    <row r="529">
      <c r="E529" s="60"/>
    </row>
    <row r="530">
      <c r="E530" s="60"/>
    </row>
    <row r="531">
      <c r="E531" s="60"/>
    </row>
    <row r="532">
      <c r="E532" s="60"/>
    </row>
    <row r="533">
      <c r="E533" s="60"/>
    </row>
    <row r="534">
      <c r="E534" s="60"/>
    </row>
    <row r="535">
      <c r="E535" s="60"/>
    </row>
    <row r="536">
      <c r="E536" s="60"/>
    </row>
    <row r="537">
      <c r="E537" s="60"/>
    </row>
    <row r="538">
      <c r="E538" s="60"/>
    </row>
    <row r="539">
      <c r="E539" s="60"/>
    </row>
    <row r="540">
      <c r="E540" s="60"/>
    </row>
    <row r="541">
      <c r="E541" s="60"/>
    </row>
    <row r="542">
      <c r="E542" s="60"/>
    </row>
    <row r="543">
      <c r="E543" s="60"/>
    </row>
    <row r="544">
      <c r="E544" s="60"/>
    </row>
    <row r="545">
      <c r="E545" s="60"/>
    </row>
    <row r="546">
      <c r="E546" s="60"/>
    </row>
    <row r="547">
      <c r="E547" s="60"/>
    </row>
    <row r="548">
      <c r="E548" s="60"/>
    </row>
    <row r="549">
      <c r="E549" s="60"/>
    </row>
    <row r="550">
      <c r="E550" s="60"/>
    </row>
    <row r="551">
      <c r="E551" s="60"/>
    </row>
    <row r="552">
      <c r="E552" s="60"/>
    </row>
    <row r="553">
      <c r="E553" s="60"/>
    </row>
    <row r="554">
      <c r="E554" s="60"/>
    </row>
    <row r="555">
      <c r="E555" s="60"/>
    </row>
    <row r="556">
      <c r="E556" s="60"/>
    </row>
    <row r="557">
      <c r="E557" s="60"/>
    </row>
    <row r="558">
      <c r="E558" s="60"/>
    </row>
    <row r="559">
      <c r="E559" s="60"/>
    </row>
    <row r="560">
      <c r="E560" s="60"/>
    </row>
    <row r="561">
      <c r="E561" s="60"/>
    </row>
    <row r="562">
      <c r="E562" s="60"/>
    </row>
    <row r="563">
      <c r="E563" s="60"/>
    </row>
    <row r="564">
      <c r="E564" s="60"/>
    </row>
    <row r="565">
      <c r="E565" s="60"/>
    </row>
    <row r="566">
      <c r="E566" s="60"/>
    </row>
    <row r="567">
      <c r="E567" s="60"/>
    </row>
    <row r="568">
      <c r="E568" s="60"/>
    </row>
    <row r="569">
      <c r="E569" s="60"/>
    </row>
    <row r="570">
      <c r="E570" s="60"/>
    </row>
    <row r="571">
      <c r="E571" s="60"/>
    </row>
    <row r="572">
      <c r="E572" s="60"/>
    </row>
    <row r="573">
      <c r="E573" s="60"/>
    </row>
    <row r="574">
      <c r="E574" s="60"/>
    </row>
    <row r="575">
      <c r="E575" s="60"/>
    </row>
    <row r="576">
      <c r="E576" s="60"/>
    </row>
    <row r="577">
      <c r="E577" s="60"/>
    </row>
    <row r="578">
      <c r="E578" s="60"/>
    </row>
    <row r="579">
      <c r="E579" s="60"/>
    </row>
    <row r="580">
      <c r="E580" s="60"/>
    </row>
    <row r="581">
      <c r="E581" s="60"/>
    </row>
    <row r="582">
      <c r="E582" s="60"/>
    </row>
    <row r="583">
      <c r="E583" s="60"/>
    </row>
    <row r="584">
      <c r="E584" s="60"/>
    </row>
    <row r="585">
      <c r="E585" s="60"/>
    </row>
    <row r="586">
      <c r="E586" s="60"/>
    </row>
    <row r="587">
      <c r="E587" s="60"/>
    </row>
    <row r="588">
      <c r="E588" s="60"/>
    </row>
    <row r="589">
      <c r="E589" s="60"/>
    </row>
    <row r="590">
      <c r="E590" s="60"/>
    </row>
    <row r="591">
      <c r="E591" s="60"/>
    </row>
    <row r="592">
      <c r="E592" s="60"/>
    </row>
    <row r="593">
      <c r="E593" s="60"/>
    </row>
    <row r="594">
      <c r="E594" s="60"/>
    </row>
    <row r="595">
      <c r="E595" s="60"/>
    </row>
    <row r="596">
      <c r="E596" s="60"/>
    </row>
    <row r="597">
      <c r="E597" s="60"/>
    </row>
    <row r="598">
      <c r="E598" s="60"/>
    </row>
    <row r="599">
      <c r="E599" s="60"/>
    </row>
    <row r="600">
      <c r="E600" s="60"/>
    </row>
    <row r="601">
      <c r="E601" s="60"/>
    </row>
    <row r="602">
      <c r="E602" s="60"/>
    </row>
    <row r="603">
      <c r="E603" s="60"/>
    </row>
    <row r="604">
      <c r="E604" s="60"/>
    </row>
    <row r="605">
      <c r="E605" s="60"/>
    </row>
    <row r="606">
      <c r="E606" s="60"/>
    </row>
    <row r="607">
      <c r="E607" s="60"/>
    </row>
    <row r="608">
      <c r="E608" s="60"/>
    </row>
    <row r="609">
      <c r="E609" s="60"/>
    </row>
    <row r="610">
      <c r="E610" s="60"/>
    </row>
    <row r="611">
      <c r="E611" s="60"/>
    </row>
    <row r="612">
      <c r="E612" s="60"/>
    </row>
    <row r="613">
      <c r="E613" s="60"/>
    </row>
    <row r="614">
      <c r="E614" s="60"/>
    </row>
    <row r="615">
      <c r="E615" s="60"/>
    </row>
    <row r="616">
      <c r="E616" s="60"/>
    </row>
    <row r="617">
      <c r="E617" s="60"/>
    </row>
    <row r="618">
      <c r="E618" s="60"/>
    </row>
    <row r="619">
      <c r="E619" s="60"/>
    </row>
    <row r="620">
      <c r="E620" s="60"/>
    </row>
    <row r="621">
      <c r="E621" s="60"/>
    </row>
    <row r="622">
      <c r="E622" s="60"/>
    </row>
    <row r="623">
      <c r="E623" s="60"/>
    </row>
    <row r="624">
      <c r="E624" s="60"/>
    </row>
    <row r="625">
      <c r="E625" s="60"/>
    </row>
    <row r="626">
      <c r="E626" s="60"/>
    </row>
    <row r="627">
      <c r="E627" s="60"/>
    </row>
    <row r="628">
      <c r="E628" s="60"/>
    </row>
    <row r="629">
      <c r="E629" s="60"/>
    </row>
    <row r="630">
      <c r="E630" s="60"/>
    </row>
    <row r="631">
      <c r="E631" s="60"/>
    </row>
    <row r="632">
      <c r="E632" s="60"/>
    </row>
    <row r="633">
      <c r="E633" s="60"/>
    </row>
    <row r="634">
      <c r="E634" s="60"/>
    </row>
    <row r="635">
      <c r="E635" s="60"/>
    </row>
    <row r="636">
      <c r="E636" s="60"/>
    </row>
    <row r="637">
      <c r="E637" s="60"/>
    </row>
    <row r="638">
      <c r="E638" s="60"/>
    </row>
    <row r="639">
      <c r="E639" s="60"/>
    </row>
    <row r="640">
      <c r="E640" s="60"/>
    </row>
    <row r="641">
      <c r="E641" s="60"/>
    </row>
    <row r="642">
      <c r="E642" s="60"/>
    </row>
    <row r="643">
      <c r="E643" s="60"/>
    </row>
    <row r="644">
      <c r="E644" s="60"/>
    </row>
    <row r="645">
      <c r="E645" s="60"/>
    </row>
    <row r="646">
      <c r="E646" s="60"/>
    </row>
    <row r="647">
      <c r="E647" s="60"/>
    </row>
    <row r="648">
      <c r="E648" s="60"/>
    </row>
    <row r="649">
      <c r="E649" s="60"/>
    </row>
    <row r="650">
      <c r="E650" s="60"/>
    </row>
    <row r="651">
      <c r="E651" s="60"/>
    </row>
    <row r="652">
      <c r="E652" s="60"/>
    </row>
    <row r="653">
      <c r="E653" s="60"/>
    </row>
    <row r="654">
      <c r="E654" s="60"/>
    </row>
    <row r="655">
      <c r="E655" s="60"/>
    </row>
    <row r="656">
      <c r="E656" s="60"/>
    </row>
    <row r="657">
      <c r="E657" s="60"/>
    </row>
    <row r="658">
      <c r="E658" s="60"/>
    </row>
    <row r="659">
      <c r="E659" s="60"/>
    </row>
    <row r="660">
      <c r="E660" s="60"/>
    </row>
    <row r="661">
      <c r="E661" s="60"/>
    </row>
    <row r="662">
      <c r="E662" s="60"/>
    </row>
    <row r="663">
      <c r="E663" s="60"/>
    </row>
    <row r="664">
      <c r="E664" s="60"/>
    </row>
    <row r="665">
      <c r="E665" s="60"/>
    </row>
    <row r="666">
      <c r="E666" s="60"/>
    </row>
    <row r="667">
      <c r="E667" s="60"/>
    </row>
    <row r="668">
      <c r="E668" s="60"/>
    </row>
    <row r="669">
      <c r="E669" s="60"/>
    </row>
    <row r="670">
      <c r="E670" s="60"/>
    </row>
    <row r="671">
      <c r="E671" s="60"/>
    </row>
    <row r="672">
      <c r="E672" s="60"/>
    </row>
    <row r="673">
      <c r="E673" s="60"/>
    </row>
    <row r="674">
      <c r="E674" s="60"/>
    </row>
    <row r="675">
      <c r="E675" s="60"/>
    </row>
    <row r="676">
      <c r="E676" s="60"/>
    </row>
    <row r="677">
      <c r="E677" s="60"/>
    </row>
    <row r="678">
      <c r="E678" s="60"/>
    </row>
    <row r="679">
      <c r="E679" s="60"/>
    </row>
    <row r="680">
      <c r="E680" s="60"/>
    </row>
    <row r="681">
      <c r="E681" s="60"/>
    </row>
    <row r="682">
      <c r="E682" s="60"/>
    </row>
    <row r="683">
      <c r="E683" s="60"/>
    </row>
    <row r="684">
      <c r="E684" s="60"/>
    </row>
    <row r="685">
      <c r="E685" s="60"/>
    </row>
    <row r="686">
      <c r="E686" s="60"/>
    </row>
    <row r="687">
      <c r="E687" s="60"/>
    </row>
    <row r="688">
      <c r="E688" s="60"/>
    </row>
    <row r="689">
      <c r="E689" s="60"/>
    </row>
    <row r="690">
      <c r="E690" s="60"/>
    </row>
    <row r="691">
      <c r="E691" s="60"/>
    </row>
    <row r="692">
      <c r="E692" s="60"/>
    </row>
    <row r="693">
      <c r="E693" s="60"/>
    </row>
    <row r="694">
      <c r="E694" s="60"/>
    </row>
    <row r="695">
      <c r="E695" s="60"/>
    </row>
    <row r="696">
      <c r="E696" s="60"/>
    </row>
    <row r="697">
      <c r="E697" s="60"/>
    </row>
    <row r="698">
      <c r="E698" s="60"/>
    </row>
    <row r="699">
      <c r="E699" s="60"/>
    </row>
    <row r="700">
      <c r="E700" s="60"/>
    </row>
    <row r="701">
      <c r="E701" s="60"/>
    </row>
    <row r="702">
      <c r="E702" s="60"/>
    </row>
    <row r="703">
      <c r="E703" s="60"/>
    </row>
    <row r="704">
      <c r="E704" s="60"/>
    </row>
    <row r="705">
      <c r="E705" s="60"/>
    </row>
    <row r="706">
      <c r="E706" s="60"/>
    </row>
    <row r="707">
      <c r="E707" s="60"/>
    </row>
    <row r="708">
      <c r="E708" s="60"/>
    </row>
    <row r="709">
      <c r="E709" s="60"/>
    </row>
    <row r="710">
      <c r="E710" s="60"/>
    </row>
    <row r="711">
      <c r="E711" s="60"/>
    </row>
    <row r="712">
      <c r="E712" s="60"/>
    </row>
    <row r="713">
      <c r="E713" s="60"/>
    </row>
    <row r="714">
      <c r="E714" s="60"/>
    </row>
    <row r="715">
      <c r="E715" s="60"/>
    </row>
    <row r="716">
      <c r="E716" s="60"/>
    </row>
    <row r="717">
      <c r="E717" s="60"/>
    </row>
    <row r="718">
      <c r="E718" s="60"/>
    </row>
    <row r="719">
      <c r="E719" s="60"/>
    </row>
    <row r="720">
      <c r="E720" s="60"/>
    </row>
    <row r="721">
      <c r="E721" s="60"/>
    </row>
    <row r="722">
      <c r="E722" s="60"/>
    </row>
    <row r="723">
      <c r="E723" s="60"/>
    </row>
    <row r="724">
      <c r="E724" s="60"/>
    </row>
    <row r="725">
      <c r="E725" s="60"/>
    </row>
    <row r="726">
      <c r="E726" s="60"/>
    </row>
    <row r="727">
      <c r="E727" s="60"/>
    </row>
    <row r="728">
      <c r="E728" s="60"/>
    </row>
    <row r="729">
      <c r="E729" s="60"/>
    </row>
    <row r="730">
      <c r="E730" s="60"/>
    </row>
    <row r="731">
      <c r="E731" s="60"/>
    </row>
    <row r="732">
      <c r="E732" s="60"/>
    </row>
    <row r="733">
      <c r="E733" s="60"/>
    </row>
    <row r="734">
      <c r="E734" s="60"/>
    </row>
    <row r="735">
      <c r="E735" s="60"/>
    </row>
    <row r="736">
      <c r="E736" s="60"/>
    </row>
    <row r="737">
      <c r="E737" s="60"/>
    </row>
    <row r="738">
      <c r="E738" s="60"/>
    </row>
    <row r="739">
      <c r="E739" s="60"/>
    </row>
    <row r="740">
      <c r="E740" s="60"/>
    </row>
    <row r="741">
      <c r="E741" s="60"/>
    </row>
    <row r="742">
      <c r="E742" s="60"/>
    </row>
    <row r="743">
      <c r="E743" s="60"/>
    </row>
    <row r="744">
      <c r="E744" s="60"/>
    </row>
    <row r="745">
      <c r="E745" s="60"/>
    </row>
    <row r="746">
      <c r="E746" s="60"/>
    </row>
    <row r="747">
      <c r="E747" s="60"/>
    </row>
    <row r="748">
      <c r="E748" s="60"/>
    </row>
    <row r="749">
      <c r="E749" s="60"/>
    </row>
    <row r="750">
      <c r="E750" s="60"/>
    </row>
    <row r="751">
      <c r="E751" s="60"/>
    </row>
    <row r="752">
      <c r="E752" s="60"/>
    </row>
    <row r="753">
      <c r="E753" s="60"/>
    </row>
    <row r="754">
      <c r="E754" s="60"/>
    </row>
    <row r="755">
      <c r="E755" s="60"/>
    </row>
    <row r="756">
      <c r="E756" s="60"/>
    </row>
    <row r="757">
      <c r="E757" s="60"/>
    </row>
    <row r="758">
      <c r="E758" s="60"/>
    </row>
    <row r="759">
      <c r="E759" s="60"/>
    </row>
    <row r="760">
      <c r="E760" s="60"/>
    </row>
    <row r="761">
      <c r="E761" s="60"/>
    </row>
    <row r="762">
      <c r="E762" s="60"/>
    </row>
    <row r="763">
      <c r="E763" s="60"/>
    </row>
    <row r="764">
      <c r="E764" s="60"/>
    </row>
    <row r="765">
      <c r="E765" s="60"/>
    </row>
    <row r="766">
      <c r="E766" s="60"/>
    </row>
    <row r="767">
      <c r="E767" s="60"/>
    </row>
    <row r="768">
      <c r="E768" s="60"/>
    </row>
    <row r="769">
      <c r="E769" s="60"/>
    </row>
    <row r="770">
      <c r="E770" s="60"/>
    </row>
    <row r="771">
      <c r="E771" s="60"/>
    </row>
    <row r="772">
      <c r="E772" s="60"/>
    </row>
    <row r="773">
      <c r="E773" s="60"/>
    </row>
    <row r="774">
      <c r="E774" s="60"/>
    </row>
    <row r="775">
      <c r="E775" s="60"/>
    </row>
    <row r="776">
      <c r="E776" s="60"/>
    </row>
    <row r="777">
      <c r="E777" s="60"/>
    </row>
    <row r="778">
      <c r="E778" s="60"/>
    </row>
    <row r="779">
      <c r="E779" s="60"/>
    </row>
    <row r="780">
      <c r="E780" s="60"/>
    </row>
    <row r="781">
      <c r="E781" s="60"/>
    </row>
    <row r="782">
      <c r="E782" s="60"/>
    </row>
    <row r="783">
      <c r="E783" s="60"/>
    </row>
    <row r="784">
      <c r="E784" s="60"/>
    </row>
    <row r="785">
      <c r="E785" s="60"/>
    </row>
    <row r="786">
      <c r="E786" s="60"/>
    </row>
    <row r="787">
      <c r="E787" s="60"/>
    </row>
    <row r="788">
      <c r="E788" s="60"/>
    </row>
    <row r="789">
      <c r="E789" s="60"/>
    </row>
    <row r="790">
      <c r="E790" s="60"/>
    </row>
    <row r="791">
      <c r="E791" s="60"/>
    </row>
    <row r="792">
      <c r="E792" s="60"/>
    </row>
    <row r="793">
      <c r="E793" s="60"/>
    </row>
    <row r="794">
      <c r="E794" s="60"/>
    </row>
    <row r="795">
      <c r="E795" s="60"/>
    </row>
    <row r="796">
      <c r="E796" s="60"/>
    </row>
    <row r="797">
      <c r="E797" s="60"/>
    </row>
    <row r="798">
      <c r="E798" s="60"/>
    </row>
    <row r="799">
      <c r="E799" s="60"/>
    </row>
    <row r="800">
      <c r="E800" s="60"/>
    </row>
    <row r="801">
      <c r="E801" s="60"/>
    </row>
    <row r="802">
      <c r="E802" s="60"/>
    </row>
    <row r="803">
      <c r="E803" s="60"/>
    </row>
    <row r="804">
      <c r="E804" s="60"/>
    </row>
    <row r="805">
      <c r="E805" s="60"/>
    </row>
    <row r="806">
      <c r="E806" s="60"/>
    </row>
    <row r="807">
      <c r="E807" s="60"/>
    </row>
    <row r="808">
      <c r="E808" s="60"/>
    </row>
    <row r="809">
      <c r="E809" s="60"/>
    </row>
    <row r="810">
      <c r="E810" s="60"/>
    </row>
    <row r="811">
      <c r="E811" s="60"/>
    </row>
    <row r="812">
      <c r="E812" s="60"/>
    </row>
    <row r="813">
      <c r="E813" s="60"/>
    </row>
    <row r="814">
      <c r="E814" s="60"/>
    </row>
    <row r="815">
      <c r="E815" s="60"/>
    </row>
    <row r="816">
      <c r="E816" s="60"/>
    </row>
    <row r="817">
      <c r="E817" s="60"/>
    </row>
    <row r="818">
      <c r="E818" s="60"/>
    </row>
    <row r="819">
      <c r="E819" s="60"/>
    </row>
    <row r="820">
      <c r="E820" s="60"/>
    </row>
    <row r="821">
      <c r="E821" s="60"/>
    </row>
    <row r="822">
      <c r="E822" s="60"/>
    </row>
    <row r="823">
      <c r="E823" s="60"/>
    </row>
    <row r="824">
      <c r="E824" s="60"/>
    </row>
    <row r="825">
      <c r="E825" s="60"/>
    </row>
    <row r="826">
      <c r="E826" s="60"/>
    </row>
    <row r="827">
      <c r="E827" s="60"/>
    </row>
    <row r="828">
      <c r="E828" s="60"/>
    </row>
    <row r="829">
      <c r="E829" s="60"/>
    </row>
    <row r="830">
      <c r="E830" s="60"/>
    </row>
    <row r="831">
      <c r="E831" s="60"/>
    </row>
    <row r="832">
      <c r="E832" s="60"/>
    </row>
    <row r="833">
      <c r="E833" s="60"/>
    </row>
    <row r="834">
      <c r="E834" s="60"/>
    </row>
    <row r="835">
      <c r="E835" s="60"/>
    </row>
    <row r="836">
      <c r="E836" s="60"/>
    </row>
    <row r="837">
      <c r="E837" s="60"/>
    </row>
    <row r="838">
      <c r="E838" s="60"/>
    </row>
    <row r="839">
      <c r="E839" s="60"/>
    </row>
    <row r="840">
      <c r="E840" s="60"/>
    </row>
    <row r="841">
      <c r="E841" s="60"/>
    </row>
    <row r="842">
      <c r="E842" s="60"/>
    </row>
    <row r="843">
      <c r="E843" s="60"/>
    </row>
    <row r="844">
      <c r="E844" s="60"/>
    </row>
    <row r="845">
      <c r="E845" s="60"/>
    </row>
    <row r="846">
      <c r="E846" s="60"/>
    </row>
    <row r="847">
      <c r="E847" s="60"/>
    </row>
    <row r="848">
      <c r="E848" s="60"/>
    </row>
    <row r="849">
      <c r="E849" s="60"/>
    </row>
    <row r="850">
      <c r="E850" s="60"/>
    </row>
    <row r="851">
      <c r="E851" s="60"/>
    </row>
    <row r="852">
      <c r="E852" s="60"/>
    </row>
    <row r="853">
      <c r="E853" s="60"/>
    </row>
    <row r="854">
      <c r="E854" s="60"/>
    </row>
    <row r="855">
      <c r="E855" s="60"/>
    </row>
    <row r="856">
      <c r="E856" s="60"/>
    </row>
    <row r="857">
      <c r="E857" s="60"/>
    </row>
    <row r="858">
      <c r="E858" s="60"/>
    </row>
    <row r="859">
      <c r="E859" s="60"/>
    </row>
    <row r="860">
      <c r="E860" s="60"/>
    </row>
    <row r="861">
      <c r="E861" s="60"/>
    </row>
    <row r="862">
      <c r="E862" s="60"/>
    </row>
    <row r="863">
      <c r="E863" s="60"/>
    </row>
    <row r="864">
      <c r="E864" s="60"/>
    </row>
    <row r="865">
      <c r="E865" s="60"/>
    </row>
    <row r="866">
      <c r="E866" s="60"/>
    </row>
    <row r="867">
      <c r="E867" s="60"/>
    </row>
    <row r="868">
      <c r="E868" s="60"/>
    </row>
    <row r="869">
      <c r="E869" s="60"/>
    </row>
    <row r="870">
      <c r="E870" s="60"/>
    </row>
    <row r="871">
      <c r="E871" s="60"/>
    </row>
    <row r="872">
      <c r="E872" s="60"/>
    </row>
    <row r="873">
      <c r="E873" s="60"/>
    </row>
    <row r="874">
      <c r="E874" s="60"/>
    </row>
    <row r="875">
      <c r="E875" s="60"/>
    </row>
    <row r="876">
      <c r="E876" s="60"/>
    </row>
    <row r="877">
      <c r="E877" s="60"/>
    </row>
    <row r="878">
      <c r="E878" s="60"/>
    </row>
    <row r="879">
      <c r="E879" s="60"/>
    </row>
    <row r="880">
      <c r="E880" s="60"/>
    </row>
    <row r="881">
      <c r="E881" s="60"/>
    </row>
    <row r="882">
      <c r="E882" s="60"/>
    </row>
    <row r="883">
      <c r="E883" s="60"/>
    </row>
    <row r="884">
      <c r="E884" s="60"/>
    </row>
    <row r="885">
      <c r="E885" s="60"/>
    </row>
    <row r="886">
      <c r="E886" s="60"/>
    </row>
    <row r="887">
      <c r="E887" s="60"/>
    </row>
    <row r="888">
      <c r="E888" s="60"/>
    </row>
    <row r="889">
      <c r="E889" s="60"/>
    </row>
    <row r="890">
      <c r="E890" s="60"/>
    </row>
    <row r="891">
      <c r="E891" s="60"/>
    </row>
    <row r="892">
      <c r="E892" s="60"/>
    </row>
    <row r="893">
      <c r="E893" s="60"/>
    </row>
    <row r="894">
      <c r="E894" s="60"/>
    </row>
    <row r="895">
      <c r="E895" s="60"/>
    </row>
    <row r="896">
      <c r="E896" s="60"/>
    </row>
    <row r="897">
      <c r="E897" s="60"/>
    </row>
    <row r="898">
      <c r="E898" s="60"/>
    </row>
    <row r="899">
      <c r="E899" s="60"/>
    </row>
    <row r="900">
      <c r="E900" s="60"/>
    </row>
    <row r="901">
      <c r="E901" s="60"/>
    </row>
    <row r="902">
      <c r="E902" s="60"/>
    </row>
    <row r="903">
      <c r="E903" s="60"/>
    </row>
    <row r="904">
      <c r="E904" s="60"/>
    </row>
    <row r="905">
      <c r="E905" s="60"/>
    </row>
    <row r="906">
      <c r="E906" s="60"/>
    </row>
    <row r="907">
      <c r="E907" s="60"/>
    </row>
    <row r="908">
      <c r="E908" s="60"/>
    </row>
    <row r="909">
      <c r="E909" s="60"/>
    </row>
    <row r="910">
      <c r="E910" s="60"/>
    </row>
    <row r="911">
      <c r="E911" s="60"/>
    </row>
    <row r="912">
      <c r="E912" s="60"/>
    </row>
    <row r="913">
      <c r="E913" s="60"/>
    </row>
    <row r="914">
      <c r="E914" s="60"/>
    </row>
    <row r="915">
      <c r="E915" s="60"/>
    </row>
    <row r="916">
      <c r="E916" s="60"/>
    </row>
    <row r="917">
      <c r="E917" s="60"/>
    </row>
    <row r="918">
      <c r="E918" s="60"/>
    </row>
    <row r="919">
      <c r="E919" s="60"/>
    </row>
    <row r="920">
      <c r="E920" s="60"/>
    </row>
    <row r="921">
      <c r="E921" s="60"/>
    </row>
    <row r="922">
      <c r="E922" s="60"/>
    </row>
    <row r="923">
      <c r="E923" s="60"/>
    </row>
    <row r="924">
      <c r="E924" s="60"/>
    </row>
    <row r="925">
      <c r="E925" s="60"/>
    </row>
    <row r="926">
      <c r="E926" s="60"/>
    </row>
    <row r="927">
      <c r="E927" s="60"/>
    </row>
    <row r="928">
      <c r="E928" s="60"/>
    </row>
    <row r="929">
      <c r="E929" s="60"/>
    </row>
    <row r="930">
      <c r="E930" s="60"/>
    </row>
    <row r="931">
      <c r="E931" s="60"/>
    </row>
    <row r="932">
      <c r="E932" s="60"/>
    </row>
    <row r="933">
      <c r="E933" s="60"/>
    </row>
    <row r="934">
      <c r="E934" s="60"/>
    </row>
    <row r="935">
      <c r="E935" s="60"/>
    </row>
    <row r="936">
      <c r="E936" s="60"/>
    </row>
    <row r="937">
      <c r="E937" s="60"/>
    </row>
    <row r="938">
      <c r="E938" s="60"/>
    </row>
    <row r="939">
      <c r="E939" s="60"/>
    </row>
    <row r="940">
      <c r="E940" s="60"/>
    </row>
    <row r="941">
      <c r="E941" s="60"/>
    </row>
    <row r="942">
      <c r="E942" s="60"/>
    </row>
    <row r="943">
      <c r="E943" s="60"/>
    </row>
    <row r="944">
      <c r="E944" s="60"/>
    </row>
    <row r="945">
      <c r="E945" s="60"/>
    </row>
    <row r="946">
      <c r="E946" s="60"/>
    </row>
    <row r="947">
      <c r="E947" s="60"/>
    </row>
    <row r="948">
      <c r="E948" s="60"/>
    </row>
    <row r="949">
      <c r="E949" s="60"/>
    </row>
    <row r="950">
      <c r="E950" s="60"/>
    </row>
    <row r="951">
      <c r="E951" s="60"/>
    </row>
    <row r="952">
      <c r="E952" s="60"/>
    </row>
    <row r="953">
      <c r="E953" s="60"/>
    </row>
    <row r="954">
      <c r="E954" s="60"/>
    </row>
    <row r="955">
      <c r="E955" s="60"/>
    </row>
    <row r="956">
      <c r="E956" s="60"/>
    </row>
    <row r="957">
      <c r="E957" s="60"/>
    </row>
    <row r="958">
      <c r="E958" s="60"/>
    </row>
    <row r="959">
      <c r="E959" s="60"/>
    </row>
    <row r="960">
      <c r="E960" s="60"/>
    </row>
    <row r="961">
      <c r="E961" s="60"/>
    </row>
    <row r="962">
      <c r="E962" s="60"/>
    </row>
    <row r="963">
      <c r="E963" s="60"/>
    </row>
    <row r="964">
      <c r="E964" s="60"/>
    </row>
    <row r="965">
      <c r="E965" s="60"/>
    </row>
    <row r="966">
      <c r="E966" s="60"/>
    </row>
    <row r="967">
      <c r="E967" s="60"/>
    </row>
    <row r="968">
      <c r="E968" s="60"/>
    </row>
    <row r="969">
      <c r="E969" s="60"/>
    </row>
    <row r="970">
      <c r="E970" s="60"/>
    </row>
    <row r="971">
      <c r="E971" s="60"/>
    </row>
    <row r="972">
      <c r="E972" s="60"/>
    </row>
    <row r="973">
      <c r="E973" s="60"/>
    </row>
    <row r="974">
      <c r="E974" s="60"/>
    </row>
    <row r="975">
      <c r="E975" s="60"/>
    </row>
    <row r="976">
      <c r="E976" s="60"/>
    </row>
    <row r="977">
      <c r="E977" s="60"/>
    </row>
    <row r="978">
      <c r="E978" s="60"/>
    </row>
    <row r="979">
      <c r="E979" s="60"/>
    </row>
    <row r="980">
      <c r="E980" s="60"/>
    </row>
    <row r="981">
      <c r="E981" s="60"/>
    </row>
    <row r="982">
      <c r="E982" s="60"/>
    </row>
    <row r="983">
      <c r="E983" s="60"/>
    </row>
    <row r="984">
      <c r="E984" s="60"/>
    </row>
    <row r="985">
      <c r="E985" s="60"/>
    </row>
    <row r="986">
      <c r="E986" s="60"/>
    </row>
    <row r="987">
      <c r="E987" s="60"/>
    </row>
    <row r="988">
      <c r="E988" s="60"/>
    </row>
    <row r="989">
      <c r="E989" s="60"/>
    </row>
    <row r="990">
      <c r="E990" s="60"/>
    </row>
    <row r="991">
      <c r="E991" s="60"/>
    </row>
    <row r="992">
      <c r="E992" s="60"/>
    </row>
    <row r="993">
      <c r="E993" s="60"/>
    </row>
    <row r="994">
      <c r="E994" s="60"/>
    </row>
    <row r="995">
      <c r="E995" s="60"/>
    </row>
    <row r="996">
      <c r="E996" s="60"/>
    </row>
    <row r="997">
      <c r="E997" s="60"/>
    </row>
    <row r="998">
      <c r="E998" s="60"/>
    </row>
    <row r="999">
      <c r="E999" s="60"/>
    </row>
    <row r="1000">
      <c r="E1000" s="60"/>
    </row>
    <row r="1001">
      <c r="E1001" s="60"/>
    </row>
  </sheetData>
  <mergeCells count="1">
    <mergeCell ref="A1:E1"/>
  </mergeCells>
  <conditionalFormatting sqref="D3:D18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C18">
    <cfRule type="colorScale" priority="2">
      <colorScale>
        <cfvo type="min"/>
        <cfvo type="max"/>
        <color rgb="FFFFFFFF"/>
        <color rgb="FFFFD666"/>
      </colorScale>
    </cfRule>
  </conditionalFormatting>
  <conditionalFormatting sqref="E3:E18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ataValidations>
    <dataValidation type="custom" allowBlank="1" showDropDown="1" sqref="C3:E18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6.5"/>
    <col customWidth="1" min="3" max="3" width="62.25"/>
    <col customWidth="1" min="4" max="4" width="28.5"/>
    <col customWidth="1" min="5" max="5" width="13.25"/>
    <col customWidth="1" min="6" max="6" width="18.5"/>
    <col customWidth="1" min="7" max="7" width="14.0"/>
    <col customWidth="1" min="8" max="8" width="18.75"/>
    <col customWidth="1" min="9" max="9" width="64.0"/>
  </cols>
  <sheetData>
    <row r="1">
      <c r="A1" s="1" t="s">
        <v>569</v>
      </c>
      <c r="F1" s="64"/>
      <c r="G1" s="64"/>
      <c r="H1" s="64"/>
      <c r="I1" s="64"/>
    </row>
    <row r="2" ht="22.5" customHeight="1">
      <c r="A2" s="41" t="s">
        <v>570</v>
      </c>
      <c r="B2" s="41" t="s">
        <v>571</v>
      </c>
      <c r="C2" s="41" t="s">
        <v>572</v>
      </c>
      <c r="D2" s="41" t="s">
        <v>573</v>
      </c>
      <c r="E2" s="41" t="s">
        <v>2</v>
      </c>
      <c r="F2" s="41" t="s">
        <v>461</v>
      </c>
      <c r="G2" s="41" t="s">
        <v>574</v>
      </c>
      <c r="H2" s="41" t="s">
        <v>575</v>
      </c>
      <c r="I2" s="41" t="s">
        <v>576</v>
      </c>
    </row>
    <row r="3" ht="22.5" customHeight="1">
      <c r="A3" s="39" t="s">
        <v>577</v>
      </c>
      <c r="B3" s="20">
        <v>45895.0</v>
      </c>
      <c r="C3" s="22" t="s">
        <v>578</v>
      </c>
      <c r="D3" s="21" t="s">
        <v>579</v>
      </c>
      <c r="E3" s="21" t="s">
        <v>580</v>
      </c>
      <c r="F3" s="21" t="s">
        <v>465</v>
      </c>
      <c r="G3" s="65" t="s">
        <v>581</v>
      </c>
      <c r="H3" s="20">
        <v>45896.0</v>
      </c>
      <c r="I3" s="22" t="s">
        <v>582</v>
      </c>
    </row>
    <row r="4" ht="22.5" customHeight="1">
      <c r="A4" s="39" t="s">
        <v>583</v>
      </c>
      <c r="B4" s="20">
        <v>45902.0</v>
      </c>
      <c r="C4" s="22" t="s">
        <v>584</v>
      </c>
      <c r="D4" s="21" t="s">
        <v>585</v>
      </c>
      <c r="E4" s="21" t="s">
        <v>580</v>
      </c>
      <c r="F4" s="21" t="s">
        <v>486</v>
      </c>
      <c r="G4" s="65" t="s">
        <v>581</v>
      </c>
      <c r="H4" s="20">
        <v>45905.0</v>
      </c>
      <c r="I4" s="22" t="s">
        <v>586</v>
      </c>
    </row>
    <row r="5" ht="22.5" customHeight="1">
      <c r="A5" s="39" t="s">
        <v>587</v>
      </c>
      <c r="B5" s="20">
        <v>45903.0</v>
      </c>
      <c r="C5" s="22" t="s">
        <v>588</v>
      </c>
      <c r="D5" s="21" t="s">
        <v>579</v>
      </c>
      <c r="E5" s="21" t="s">
        <v>580</v>
      </c>
      <c r="F5" s="21" t="s">
        <v>471</v>
      </c>
      <c r="G5" s="65" t="s">
        <v>581</v>
      </c>
      <c r="H5" s="20">
        <v>45904.0</v>
      </c>
      <c r="I5" s="22" t="s">
        <v>589</v>
      </c>
    </row>
    <row r="6" ht="22.5" customHeight="1">
      <c r="A6" s="39" t="s">
        <v>590</v>
      </c>
      <c r="B6" s="20">
        <v>45926.0</v>
      </c>
      <c r="C6" s="22" t="s">
        <v>591</v>
      </c>
      <c r="D6" s="21" t="s">
        <v>585</v>
      </c>
      <c r="E6" s="21" t="s">
        <v>592</v>
      </c>
      <c r="F6" s="21" t="s">
        <v>471</v>
      </c>
      <c r="G6" s="65" t="s">
        <v>581</v>
      </c>
      <c r="H6" s="20">
        <v>45929.0</v>
      </c>
      <c r="I6" s="22" t="s">
        <v>593</v>
      </c>
    </row>
    <row r="7" ht="22.5" customHeight="1">
      <c r="A7" s="39" t="s">
        <v>594</v>
      </c>
      <c r="B7" s="20">
        <v>45929.0</v>
      </c>
      <c r="C7" s="22" t="s">
        <v>595</v>
      </c>
      <c r="D7" s="21" t="s">
        <v>585</v>
      </c>
      <c r="E7" s="21" t="s">
        <v>592</v>
      </c>
      <c r="F7" s="21" t="s">
        <v>465</v>
      </c>
      <c r="G7" s="65" t="s">
        <v>581</v>
      </c>
      <c r="H7" s="20">
        <v>45930.0</v>
      </c>
      <c r="I7" s="22" t="s">
        <v>596</v>
      </c>
    </row>
    <row r="8" ht="22.5" customHeight="1">
      <c r="A8" s="39" t="s">
        <v>597</v>
      </c>
      <c r="B8" s="20">
        <v>45932.0</v>
      </c>
      <c r="C8" s="22" t="s">
        <v>598</v>
      </c>
      <c r="D8" s="21" t="s">
        <v>579</v>
      </c>
      <c r="E8" s="21" t="s">
        <v>592</v>
      </c>
      <c r="F8" s="21" t="s">
        <v>465</v>
      </c>
      <c r="G8" s="65" t="s">
        <v>581</v>
      </c>
      <c r="H8" s="20">
        <v>45933.0</v>
      </c>
      <c r="I8" s="22" t="s">
        <v>599</v>
      </c>
    </row>
    <row r="9" ht="22.5" customHeight="1">
      <c r="A9" s="39" t="s">
        <v>600</v>
      </c>
      <c r="B9" s="20">
        <v>45937.0</v>
      </c>
      <c r="C9" s="22" t="s">
        <v>601</v>
      </c>
      <c r="D9" s="21" t="s">
        <v>602</v>
      </c>
      <c r="E9" s="21" t="s">
        <v>603</v>
      </c>
      <c r="F9" s="21" t="s">
        <v>465</v>
      </c>
      <c r="G9" s="65" t="s">
        <v>581</v>
      </c>
      <c r="H9" s="20">
        <v>45937.0</v>
      </c>
      <c r="I9" s="22" t="s">
        <v>604</v>
      </c>
    </row>
    <row r="10" ht="22.5" customHeight="1">
      <c r="A10" s="39" t="s">
        <v>605</v>
      </c>
      <c r="B10" s="20">
        <v>45938.0</v>
      </c>
      <c r="C10" s="22" t="s">
        <v>606</v>
      </c>
      <c r="D10" s="21" t="s">
        <v>602</v>
      </c>
      <c r="E10" s="21" t="s">
        <v>603</v>
      </c>
      <c r="F10" s="21" t="s">
        <v>471</v>
      </c>
      <c r="G10" s="65" t="s">
        <v>581</v>
      </c>
      <c r="H10" s="20">
        <v>45938.0</v>
      </c>
      <c r="I10" s="22" t="s">
        <v>607</v>
      </c>
    </row>
    <row r="11" ht="22.5" customHeight="1">
      <c r="A11" s="39" t="s">
        <v>608</v>
      </c>
      <c r="B11" s="20">
        <v>45939.0</v>
      </c>
      <c r="C11" s="22" t="s">
        <v>609</v>
      </c>
      <c r="D11" s="21" t="s">
        <v>585</v>
      </c>
      <c r="E11" s="21" t="s">
        <v>603</v>
      </c>
      <c r="F11" s="21" t="s">
        <v>471</v>
      </c>
      <c r="G11" s="65" t="s">
        <v>581</v>
      </c>
      <c r="H11" s="20">
        <v>45939.0</v>
      </c>
      <c r="I11" s="22" t="s">
        <v>610</v>
      </c>
    </row>
    <row r="12" ht="22.5" customHeight="1">
      <c r="A12" s="39" t="s">
        <v>611</v>
      </c>
      <c r="B12" s="66">
        <v>45943.0</v>
      </c>
      <c r="C12" s="22" t="s">
        <v>612</v>
      </c>
      <c r="D12" s="21" t="s">
        <v>579</v>
      </c>
      <c r="E12" s="21" t="s">
        <v>603</v>
      </c>
      <c r="F12" s="21" t="s">
        <v>465</v>
      </c>
      <c r="G12" s="65" t="s">
        <v>581</v>
      </c>
      <c r="H12" s="66">
        <v>45944.0</v>
      </c>
      <c r="I12" s="22" t="s">
        <v>613</v>
      </c>
    </row>
    <row r="13" ht="22.5" customHeight="1">
      <c r="A13" s="39" t="s">
        <v>614</v>
      </c>
      <c r="B13" s="66">
        <v>45946.0</v>
      </c>
      <c r="C13" s="22" t="s">
        <v>615</v>
      </c>
      <c r="D13" s="21" t="s">
        <v>585</v>
      </c>
      <c r="E13" s="21" t="s">
        <v>603</v>
      </c>
      <c r="F13" s="21" t="s">
        <v>486</v>
      </c>
      <c r="G13" s="65" t="s">
        <v>581</v>
      </c>
      <c r="H13" s="66">
        <v>45947.0</v>
      </c>
      <c r="I13" s="22" t="s">
        <v>616</v>
      </c>
    </row>
    <row r="14" ht="22.5" customHeight="1">
      <c r="A14" s="39" t="s">
        <v>617</v>
      </c>
      <c r="B14" s="66">
        <v>45952.0</v>
      </c>
      <c r="C14" s="22" t="s">
        <v>618</v>
      </c>
      <c r="D14" s="21" t="s">
        <v>585</v>
      </c>
      <c r="E14" s="21" t="s">
        <v>603</v>
      </c>
      <c r="F14" s="21" t="s">
        <v>465</v>
      </c>
      <c r="G14" s="65" t="s">
        <v>581</v>
      </c>
      <c r="H14" s="66">
        <v>45952.0</v>
      </c>
      <c r="I14" s="22" t="s">
        <v>619</v>
      </c>
    </row>
    <row r="15" ht="22.5" customHeight="1">
      <c r="A15" s="39" t="s">
        <v>620</v>
      </c>
      <c r="B15" s="66">
        <v>45959.0</v>
      </c>
      <c r="C15" s="22" t="s">
        <v>621</v>
      </c>
      <c r="D15" s="21" t="s">
        <v>579</v>
      </c>
      <c r="E15" s="21" t="s">
        <v>622</v>
      </c>
      <c r="F15" s="21" t="s">
        <v>465</v>
      </c>
      <c r="G15" s="65" t="s">
        <v>581</v>
      </c>
      <c r="H15" s="66">
        <v>45959.0</v>
      </c>
      <c r="I15" s="22" t="s">
        <v>623</v>
      </c>
    </row>
    <row r="16" ht="22.5" customHeight="1">
      <c r="A16" s="39" t="s">
        <v>624</v>
      </c>
      <c r="B16" s="66">
        <v>45960.0</v>
      </c>
      <c r="C16" s="22" t="s">
        <v>625</v>
      </c>
      <c r="D16" s="21" t="s">
        <v>585</v>
      </c>
      <c r="E16" s="21" t="s">
        <v>622</v>
      </c>
      <c r="F16" s="21" t="s">
        <v>471</v>
      </c>
      <c r="G16" s="65" t="s">
        <v>581</v>
      </c>
      <c r="H16" s="66">
        <v>45961.0</v>
      </c>
      <c r="I16" s="22" t="s">
        <v>626</v>
      </c>
    </row>
    <row r="17" ht="22.5" customHeight="1">
      <c r="A17" s="39" t="s">
        <v>627</v>
      </c>
      <c r="B17" s="20">
        <v>45964.0</v>
      </c>
      <c r="C17" s="22" t="s">
        <v>628</v>
      </c>
      <c r="D17" s="21" t="s">
        <v>585</v>
      </c>
      <c r="E17" s="21" t="s">
        <v>622</v>
      </c>
      <c r="F17" s="21" t="s">
        <v>465</v>
      </c>
      <c r="G17" s="65" t="s">
        <v>581</v>
      </c>
      <c r="H17" s="20">
        <v>45964.0</v>
      </c>
      <c r="I17" s="22" t="s">
        <v>629</v>
      </c>
    </row>
    <row r="18" ht="22.5" customHeight="1">
      <c r="A18" s="39" t="s">
        <v>630</v>
      </c>
      <c r="B18" s="20">
        <v>45969.0</v>
      </c>
      <c r="C18" s="22" t="s">
        <v>631</v>
      </c>
      <c r="D18" s="21" t="s">
        <v>602</v>
      </c>
      <c r="E18" s="21" t="s">
        <v>622</v>
      </c>
      <c r="F18" s="21" t="s">
        <v>471</v>
      </c>
      <c r="G18" s="65" t="s">
        <v>581</v>
      </c>
      <c r="H18" s="20">
        <v>45969.0</v>
      </c>
      <c r="I18" s="22" t="s">
        <v>632</v>
      </c>
    </row>
    <row r="19" ht="22.5" customHeight="1">
      <c r="A19" s="39" t="s">
        <v>633</v>
      </c>
      <c r="B19" s="59">
        <v>45980.0</v>
      </c>
      <c r="C19" s="22" t="s">
        <v>634</v>
      </c>
      <c r="D19" s="65" t="s">
        <v>635</v>
      </c>
      <c r="E19" s="65" t="s">
        <v>636</v>
      </c>
      <c r="F19" s="21" t="s">
        <v>465</v>
      </c>
      <c r="G19" s="65" t="s">
        <v>581</v>
      </c>
      <c r="H19" s="66">
        <v>45980.0</v>
      </c>
      <c r="I19" s="22" t="s">
        <v>637</v>
      </c>
    </row>
    <row r="20" ht="22.5" customHeight="1">
      <c r="A20" s="39" t="s">
        <v>638</v>
      </c>
      <c r="B20" s="66">
        <v>45981.0</v>
      </c>
      <c r="C20" s="22" t="s">
        <v>639</v>
      </c>
      <c r="D20" s="21" t="s">
        <v>585</v>
      </c>
      <c r="E20" s="21" t="s">
        <v>636</v>
      </c>
      <c r="F20" s="21" t="s">
        <v>465</v>
      </c>
      <c r="G20" s="65" t="s">
        <v>581</v>
      </c>
      <c r="H20" s="66">
        <v>45981.0</v>
      </c>
      <c r="I20" s="22" t="s">
        <v>640</v>
      </c>
    </row>
    <row r="22">
      <c r="A22" s="44"/>
      <c r="B22" s="44"/>
      <c r="C22" s="44"/>
      <c r="D22" s="44"/>
      <c r="E22" s="44"/>
      <c r="F22" s="44"/>
      <c r="G22" s="44"/>
    </row>
    <row r="23">
      <c r="A23" s="49"/>
      <c r="B23" s="63"/>
      <c r="C23" s="44"/>
      <c r="D23" s="44"/>
      <c r="E23" s="44"/>
      <c r="F23" s="49"/>
    </row>
    <row r="24">
      <c r="A24" s="49"/>
      <c r="B24" s="63"/>
      <c r="C24" s="44"/>
      <c r="D24" s="44"/>
      <c r="E24" s="44"/>
      <c r="F24" s="49"/>
    </row>
    <row r="35">
      <c r="A35" s="44"/>
      <c r="B35" s="44"/>
      <c r="C35" s="44"/>
      <c r="D35" s="44"/>
      <c r="E35" s="44"/>
      <c r="F35" s="44"/>
      <c r="G35" s="44"/>
      <c r="H35" s="44"/>
      <c r="I35" s="44"/>
    </row>
  </sheetData>
  <mergeCells count="1">
    <mergeCell ref="A1:E1"/>
  </mergeCells>
  <dataValidations>
    <dataValidation type="list" allowBlank="1" showDropDown="1" showErrorMessage="1" sqref="F3:F20">
      <formula1>"Matías,Ambos,Alexander"</formula1>
    </dataValidation>
    <dataValidation type="list" allowBlank="1" showDropDown="1" showErrorMessage="1" sqref="D3:D20">
      <formula1>"Alto,Medio,Bajo,Crítico"</formula1>
    </dataValidation>
    <dataValidation type="list" allowBlank="1" showDropDown="1" showErrorMessage="1" sqref="E3:E20">
      <formula1>"Sprint 1,Sprint 2,Sprint 3,Sprint 4,Sprint 5"</formula1>
    </dataValidation>
    <dataValidation type="list" allowBlank="1" sqref="G3:G20">
      <formula1>"Cerrado,Activo"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38"/>
    <col customWidth="1" min="2" max="2" width="30.0"/>
    <col customWidth="1" min="3" max="3" width="48.13"/>
    <col customWidth="1" min="4" max="4" width="30.75"/>
    <col customWidth="1" min="5" max="5" width="43.5"/>
    <col customWidth="1" min="6" max="6" width="49.88"/>
  </cols>
  <sheetData>
    <row r="1">
      <c r="A1" s="1" t="s">
        <v>641</v>
      </c>
      <c r="E1" s="67"/>
      <c r="F1" s="67"/>
    </row>
    <row r="2" ht="22.5" customHeight="1">
      <c r="A2" s="68" t="s">
        <v>642</v>
      </c>
      <c r="B2" s="68" t="s">
        <v>643</v>
      </c>
      <c r="C2" s="68" t="s">
        <v>3</v>
      </c>
      <c r="D2" s="68" t="s">
        <v>644</v>
      </c>
      <c r="E2" s="4" t="s">
        <v>645</v>
      </c>
      <c r="F2" s="4" t="s">
        <v>646</v>
      </c>
    </row>
    <row r="3" ht="22.5" customHeight="1">
      <c r="A3" s="69" t="s">
        <v>647</v>
      </c>
      <c r="B3" s="69" t="s">
        <v>648</v>
      </c>
      <c r="C3" s="43" t="s">
        <v>649</v>
      </c>
      <c r="D3" s="69" t="s">
        <v>650</v>
      </c>
      <c r="E3" s="43" t="s">
        <v>651</v>
      </c>
      <c r="F3" s="22" t="s">
        <v>652</v>
      </c>
    </row>
    <row r="4" ht="22.5" customHeight="1">
      <c r="A4" s="69" t="s">
        <v>653</v>
      </c>
      <c r="B4" s="69" t="s">
        <v>654</v>
      </c>
      <c r="C4" s="43" t="s">
        <v>655</v>
      </c>
      <c r="D4" s="69" t="s">
        <v>656</v>
      </c>
      <c r="E4" s="43" t="s">
        <v>657</v>
      </c>
      <c r="F4" s="22" t="s">
        <v>658</v>
      </c>
    </row>
    <row r="5" ht="22.5" customHeight="1">
      <c r="A5" s="69" t="s">
        <v>659</v>
      </c>
      <c r="B5" s="69" t="s">
        <v>660</v>
      </c>
      <c r="C5" s="43" t="s">
        <v>661</v>
      </c>
      <c r="D5" s="69" t="s">
        <v>662</v>
      </c>
      <c r="E5" s="43" t="s">
        <v>663</v>
      </c>
      <c r="F5" s="22" t="s">
        <v>664</v>
      </c>
    </row>
    <row r="6" ht="22.5" customHeight="1">
      <c r="A6" s="69" t="s">
        <v>665</v>
      </c>
      <c r="B6" s="69" t="s">
        <v>666</v>
      </c>
      <c r="C6" s="43" t="s">
        <v>667</v>
      </c>
      <c r="D6" s="69" t="s">
        <v>668</v>
      </c>
      <c r="E6" s="43" t="s">
        <v>669</v>
      </c>
      <c r="F6" s="22" t="s">
        <v>670</v>
      </c>
    </row>
    <row r="7" ht="22.5" customHeight="1">
      <c r="A7" s="69" t="s">
        <v>671</v>
      </c>
      <c r="B7" s="69" t="s">
        <v>672</v>
      </c>
      <c r="C7" s="43" t="s">
        <v>673</v>
      </c>
      <c r="D7" s="69" t="s">
        <v>674</v>
      </c>
      <c r="E7" s="43" t="s">
        <v>675</v>
      </c>
      <c r="F7" s="22" t="s">
        <v>676</v>
      </c>
    </row>
    <row r="8">
      <c r="A8" s="44"/>
      <c r="B8" s="44"/>
      <c r="C8" s="44"/>
      <c r="D8" s="44"/>
      <c r="E8" s="44"/>
      <c r="F8" s="44"/>
    </row>
    <row r="9">
      <c r="A9" s="49"/>
      <c r="B9" s="49"/>
      <c r="C9" s="44"/>
      <c r="D9" s="49"/>
      <c r="E9" s="44"/>
      <c r="F9" s="44"/>
    </row>
    <row r="10">
      <c r="A10" s="49"/>
      <c r="B10" s="49"/>
      <c r="C10" s="44"/>
      <c r="D10" s="49"/>
      <c r="E10" s="44"/>
      <c r="F10" s="44"/>
    </row>
    <row r="11">
      <c r="A11" s="49"/>
      <c r="B11" s="49"/>
      <c r="C11" s="44"/>
      <c r="D11" s="49"/>
      <c r="E11" s="44"/>
      <c r="F11" s="44"/>
    </row>
    <row r="12">
      <c r="A12" s="49"/>
      <c r="B12" s="49"/>
      <c r="C12" s="44"/>
      <c r="D12" s="49"/>
      <c r="E12" s="44"/>
      <c r="F12" s="44"/>
    </row>
    <row r="13">
      <c r="A13" s="49"/>
      <c r="B13" s="49"/>
      <c r="C13" s="44"/>
      <c r="D13" s="49"/>
      <c r="E13" s="44"/>
      <c r="F13" s="44"/>
    </row>
    <row r="14">
      <c r="E14" s="2"/>
      <c r="F14" s="2"/>
    </row>
    <row r="15">
      <c r="E15" s="2"/>
      <c r="F15" s="2"/>
    </row>
    <row r="16">
      <c r="E16" s="2"/>
      <c r="F16" s="2"/>
    </row>
    <row r="17">
      <c r="E17" s="2"/>
      <c r="F17" s="2"/>
    </row>
    <row r="18">
      <c r="E18" s="2"/>
      <c r="F18" s="2"/>
    </row>
    <row r="19">
      <c r="E19" s="2"/>
      <c r="F19" s="2"/>
    </row>
    <row r="20">
      <c r="E20" s="2"/>
      <c r="F20" s="2"/>
    </row>
    <row r="21">
      <c r="E21" s="2"/>
      <c r="F21" s="2"/>
    </row>
    <row r="22">
      <c r="E22" s="2"/>
      <c r="F22" s="2"/>
    </row>
    <row r="23">
      <c r="E23" s="2"/>
      <c r="F23" s="2"/>
    </row>
    <row r="24">
      <c r="E24" s="2"/>
      <c r="F24" s="2"/>
    </row>
    <row r="25">
      <c r="E25" s="2"/>
      <c r="F25" s="2"/>
    </row>
    <row r="26">
      <c r="E26" s="2"/>
      <c r="F26" s="2"/>
    </row>
    <row r="27">
      <c r="E27" s="2"/>
      <c r="F27" s="2"/>
    </row>
    <row r="28">
      <c r="E28" s="2"/>
      <c r="F28" s="2"/>
    </row>
    <row r="29">
      <c r="E29" s="2"/>
      <c r="F29" s="2"/>
    </row>
    <row r="30">
      <c r="E30" s="2"/>
      <c r="F30" s="2"/>
    </row>
    <row r="31">
      <c r="E31" s="2"/>
      <c r="F31" s="2"/>
    </row>
    <row r="32">
      <c r="E32" s="2"/>
      <c r="F32" s="2"/>
    </row>
    <row r="33">
      <c r="E33" s="2"/>
      <c r="F33" s="2"/>
    </row>
    <row r="34">
      <c r="E34" s="2"/>
      <c r="F34" s="2"/>
    </row>
    <row r="35">
      <c r="E35" s="2"/>
      <c r="F35" s="2"/>
    </row>
    <row r="36">
      <c r="E36" s="2"/>
      <c r="F36" s="2"/>
    </row>
    <row r="37">
      <c r="E37" s="2"/>
      <c r="F37" s="2"/>
    </row>
    <row r="38">
      <c r="E38" s="2"/>
      <c r="F38" s="2"/>
    </row>
    <row r="39">
      <c r="E39" s="2"/>
      <c r="F39" s="2"/>
    </row>
    <row r="40">
      <c r="E40" s="2"/>
      <c r="F40" s="2"/>
    </row>
    <row r="41">
      <c r="E41" s="2"/>
      <c r="F41" s="2"/>
    </row>
    <row r="42">
      <c r="E42" s="2"/>
      <c r="F42" s="2"/>
    </row>
    <row r="43">
      <c r="E43" s="2"/>
      <c r="F43" s="2"/>
    </row>
    <row r="44">
      <c r="E44" s="2"/>
      <c r="F44" s="2"/>
    </row>
    <row r="45">
      <c r="E45" s="2"/>
      <c r="F45" s="2"/>
    </row>
    <row r="46">
      <c r="E46" s="2"/>
      <c r="F46" s="2"/>
    </row>
    <row r="47">
      <c r="E47" s="2"/>
      <c r="F47" s="2"/>
    </row>
    <row r="48">
      <c r="E48" s="2"/>
      <c r="F48" s="2"/>
    </row>
    <row r="49">
      <c r="E49" s="2"/>
      <c r="F49" s="2"/>
    </row>
    <row r="50">
      <c r="E50" s="2"/>
      <c r="F50" s="2"/>
    </row>
    <row r="51">
      <c r="E51" s="2"/>
      <c r="F51" s="2"/>
    </row>
    <row r="52">
      <c r="E52" s="2"/>
      <c r="F52" s="2"/>
    </row>
    <row r="53">
      <c r="E53" s="2"/>
      <c r="F53" s="2"/>
    </row>
    <row r="54">
      <c r="E54" s="2"/>
      <c r="F54" s="2"/>
    </row>
    <row r="55">
      <c r="E55" s="2"/>
      <c r="F55" s="2"/>
    </row>
    <row r="56">
      <c r="E56" s="2"/>
      <c r="F56" s="2"/>
    </row>
    <row r="57">
      <c r="E57" s="2"/>
      <c r="F57" s="2"/>
    </row>
    <row r="58">
      <c r="E58" s="2"/>
      <c r="F58" s="2"/>
    </row>
    <row r="59">
      <c r="E59" s="2"/>
      <c r="F59" s="2"/>
    </row>
    <row r="60">
      <c r="E60" s="2"/>
      <c r="F60" s="2"/>
    </row>
    <row r="61">
      <c r="E61" s="2"/>
      <c r="F61" s="2"/>
    </row>
    <row r="62">
      <c r="E62" s="2"/>
      <c r="F62" s="2"/>
    </row>
    <row r="63">
      <c r="E63" s="2"/>
      <c r="F63" s="2"/>
    </row>
    <row r="64">
      <c r="E64" s="2"/>
      <c r="F64" s="2"/>
    </row>
    <row r="65">
      <c r="E65" s="2"/>
      <c r="F65" s="2"/>
    </row>
    <row r="66">
      <c r="E66" s="2"/>
      <c r="F66" s="2"/>
    </row>
    <row r="67">
      <c r="E67" s="2"/>
      <c r="F67" s="2"/>
    </row>
    <row r="68">
      <c r="E68" s="2"/>
      <c r="F68" s="2"/>
    </row>
    <row r="69">
      <c r="E69" s="2"/>
      <c r="F69" s="2"/>
    </row>
    <row r="70">
      <c r="E70" s="2"/>
      <c r="F70" s="2"/>
    </row>
    <row r="71">
      <c r="E71" s="2"/>
      <c r="F71" s="2"/>
    </row>
    <row r="72">
      <c r="E72" s="2"/>
      <c r="F72" s="2"/>
    </row>
    <row r="73">
      <c r="E73" s="2"/>
      <c r="F73" s="2"/>
    </row>
    <row r="74">
      <c r="E74" s="2"/>
      <c r="F74" s="2"/>
    </row>
    <row r="75">
      <c r="E75" s="2"/>
      <c r="F75" s="2"/>
    </row>
    <row r="76">
      <c r="E76" s="2"/>
      <c r="F76" s="2"/>
    </row>
    <row r="77">
      <c r="E77" s="2"/>
      <c r="F77" s="2"/>
    </row>
    <row r="78">
      <c r="E78" s="2"/>
      <c r="F78" s="2"/>
    </row>
    <row r="79">
      <c r="E79" s="2"/>
      <c r="F79" s="2"/>
    </row>
    <row r="80">
      <c r="E80" s="2"/>
      <c r="F80" s="2"/>
    </row>
    <row r="81">
      <c r="E81" s="2"/>
      <c r="F81" s="2"/>
    </row>
    <row r="82">
      <c r="E82" s="2"/>
      <c r="F82" s="2"/>
    </row>
    <row r="83">
      <c r="E83" s="2"/>
      <c r="F83" s="2"/>
    </row>
    <row r="84">
      <c r="E84" s="2"/>
      <c r="F84" s="2"/>
    </row>
    <row r="85">
      <c r="E85" s="2"/>
      <c r="F85" s="2"/>
    </row>
    <row r="86">
      <c r="E86" s="2"/>
      <c r="F86" s="2"/>
    </row>
    <row r="87">
      <c r="E87" s="2"/>
      <c r="F87" s="2"/>
    </row>
    <row r="88">
      <c r="E88" s="2"/>
      <c r="F88" s="2"/>
    </row>
    <row r="89">
      <c r="E89" s="2"/>
      <c r="F89" s="2"/>
    </row>
    <row r="90">
      <c r="E90" s="2"/>
      <c r="F90" s="2"/>
    </row>
    <row r="91">
      <c r="E91" s="2"/>
      <c r="F91" s="2"/>
    </row>
    <row r="92">
      <c r="E92" s="2"/>
      <c r="F92" s="2"/>
    </row>
    <row r="93">
      <c r="E93" s="2"/>
      <c r="F93" s="2"/>
    </row>
    <row r="94">
      <c r="E94" s="2"/>
      <c r="F94" s="2"/>
    </row>
    <row r="95">
      <c r="E95" s="2"/>
      <c r="F95" s="2"/>
    </row>
    <row r="96">
      <c r="E96" s="2"/>
      <c r="F96" s="2"/>
    </row>
    <row r="97">
      <c r="E97" s="2"/>
      <c r="F97" s="2"/>
    </row>
    <row r="98">
      <c r="E98" s="2"/>
      <c r="F98" s="2"/>
    </row>
    <row r="99">
      <c r="E99" s="2"/>
      <c r="F99" s="2"/>
    </row>
    <row r="100">
      <c r="E100" s="2"/>
      <c r="F100" s="2"/>
    </row>
    <row r="101">
      <c r="E101" s="2"/>
      <c r="F101" s="2"/>
    </row>
    <row r="102">
      <c r="E102" s="2"/>
      <c r="F102" s="2"/>
    </row>
    <row r="103">
      <c r="E103" s="2"/>
      <c r="F103" s="2"/>
    </row>
    <row r="104">
      <c r="E104" s="2"/>
      <c r="F104" s="2"/>
    </row>
    <row r="105">
      <c r="E105" s="2"/>
      <c r="F105" s="2"/>
    </row>
    <row r="106">
      <c r="E106" s="2"/>
      <c r="F106" s="2"/>
    </row>
    <row r="107">
      <c r="E107" s="2"/>
      <c r="F107" s="2"/>
    </row>
    <row r="108">
      <c r="E108" s="2"/>
      <c r="F108" s="2"/>
    </row>
    <row r="109">
      <c r="E109" s="2"/>
      <c r="F109" s="2"/>
    </row>
    <row r="110">
      <c r="E110" s="2"/>
      <c r="F110" s="2"/>
    </row>
    <row r="111">
      <c r="E111" s="2"/>
      <c r="F111" s="2"/>
    </row>
    <row r="112">
      <c r="E112" s="2"/>
      <c r="F112" s="2"/>
    </row>
    <row r="113">
      <c r="E113" s="2"/>
      <c r="F113" s="2"/>
    </row>
    <row r="114">
      <c r="E114" s="2"/>
      <c r="F114" s="2"/>
    </row>
    <row r="115">
      <c r="E115" s="2"/>
      <c r="F115" s="2"/>
    </row>
    <row r="116">
      <c r="E116" s="2"/>
      <c r="F116" s="2"/>
    </row>
    <row r="117">
      <c r="E117" s="2"/>
      <c r="F117" s="2"/>
    </row>
    <row r="118">
      <c r="E118" s="2"/>
      <c r="F118" s="2"/>
    </row>
    <row r="119">
      <c r="E119" s="2"/>
      <c r="F119" s="2"/>
    </row>
    <row r="120">
      <c r="E120" s="2"/>
      <c r="F120" s="2"/>
    </row>
    <row r="121">
      <c r="E121" s="2"/>
      <c r="F121" s="2"/>
    </row>
    <row r="122">
      <c r="E122" s="2"/>
      <c r="F122" s="2"/>
    </row>
    <row r="123">
      <c r="E123" s="2"/>
      <c r="F123" s="2"/>
    </row>
    <row r="124">
      <c r="E124" s="2"/>
      <c r="F124" s="2"/>
    </row>
    <row r="125">
      <c r="E125" s="2"/>
      <c r="F125" s="2"/>
    </row>
    <row r="126">
      <c r="E126" s="2"/>
      <c r="F126" s="2"/>
    </row>
    <row r="127">
      <c r="E127" s="2"/>
      <c r="F127" s="2"/>
    </row>
    <row r="128">
      <c r="E128" s="2"/>
      <c r="F128" s="2"/>
    </row>
    <row r="129">
      <c r="E129" s="2"/>
      <c r="F129" s="2"/>
    </row>
    <row r="130">
      <c r="E130" s="2"/>
      <c r="F130" s="2"/>
    </row>
    <row r="131">
      <c r="E131" s="2"/>
      <c r="F131" s="2"/>
    </row>
    <row r="132">
      <c r="E132" s="2"/>
      <c r="F132" s="2"/>
    </row>
    <row r="133">
      <c r="E133" s="2"/>
      <c r="F133" s="2"/>
    </row>
    <row r="134">
      <c r="E134" s="2"/>
      <c r="F134" s="2"/>
    </row>
    <row r="135">
      <c r="E135" s="2"/>
      <c r="F135" s="2"/>
    </row>
    <row r="136">
      <c r="E136" s="2"/>
      <c r="F136" s="2"/>
    </row>
    <row r="137">
      <c r="E137" s="2"/>
      <c r="F137" s="2"/>
    </row>
    <row r="138">
      <c r="E138" s="2"/>
      <c r="F138" s="2"/>
    </row>
    <row r="139">
      <c r="E139" s="2"/>
      <c r="F139" s="2"/>
    </row>
    <row r="140">
      <c r="E140" s="2"/>
      <c r="F140" s="2"/>
    </row>
    <row r="141">
      <c r="E141" s="2"/>
      <c r="F141" s="2"/>
    </row>
    <row r="142">
      <c r="E142" s="2"/>
      <c r="F142" s="2"/>
    </row>
    <row r="143">
      <c r="E143" s="2"/>
      <c r="F143" s="2"/>
    </row>
    <row r="144">
      <c r="E144" s="2"/>
      <c r="F144" s="2"/>
    </row>
    <row r="145">
      <c r="E145" s="2"/>
      <c r="F145" s="2"/>
    </row>
    <row r="146">
      <c r="E146" s="2"/>
      <c r="F146" s="2"/>
    </row>
    <row r="147">
      <c r="E147" s="2"/>
      <c r="F147" s="2"/>
    </row>
    <row r="148">
      <c r="E148" s="2"/>
      <c r="F148" s="2"/>
    </row>
    <row r="149">
      <c r="E149" s="2"/>
      <c r="F149" s="2"/>
    </row>
    <row r="150">
      <c r="E150" s="2"/>
      <c r="F150" s="2"/>
    </row>
    <row r="151">
      <c r="E151" s="2"/>
      <c r="F151" s="2"/>
    </row>
    <row r="152">
      <c r="E152" s="2"/>
      <c r="F152" s="2"/>
    </row>
    <row r="153">
      <c r="E153" s="2"/>
      <c r="F153" s="2"/>
    </row>
    <row r="154">
      <c r="E154" s="2"/>
      <c r="F154" s="2"/>
    </row>
    <row r="155">
      <c r="E155" s="2"/>
      <c r="F155" s="2"/>
    </row>
    <row r="156">
      <c r="E156" s="2"/>
      <c r="F156" s="2"/>
    </row>
    <row r="157">
      <c r="E157" s="2"/>
      <c r="F157" s="2"/>
    </row>
    <row r="158">
      <c r="E158" s="2"/>
      <c r="F158" s="2"/>
    </row>
    <row r="159">
      <c r="E159" s="2"/>
      <c r="F159" s="2"/>
    </row>
    <row r="160">
      <c r="E160" s="2"/>
      <c r="F160" s="2"/>
    </row>
    <row r="161">
      <c r="E161" s="2"/>
      <c r="F161" s="2"/>
    </row>
    <row r="162">
      <c r="E162" s="2"/>
      <c r="F162" s="2"/>
    </row>
    <row r="163">
      <c r="E163" s="2"/>
      <c r="F163" s="2"/>
    </row>
    <row r="164">
      <c r="E164" s="2"/>
      <c r="F164" s="2"/>
    </row>
    <row r="165">
      <c r="E165" s="2"/>
      <c r="F165" s="2"/>
    </row>
    <row r="166">
      <c r="E166" s="2"/>
      <c r="F166" s="2"/>
    </row>
    <row r="167">
      <c r="E167" s="2"/>
      <c r="F167" s="2"/>
    </row>
    <row r="168">
      <c r="E168" s="2"/>
      <c r="F168" s="2"/>
    </row>
    <row r="169">
      <c r="E169" s="2"/>
      <c r="F169" s="2"/>
    </row>
    <row r="170">
      <c r="E170" s="2"/>
      <c r="F170" s="2"/>
    </row>
    <row r="171">
      <c r="E171" s="2"/>
      <c r="F171" s="2"/>
    </row>
    <row r="172">
      <c r="E172" s="2"/>
      <c r="F172" s="2"/>
    </row>
    <row r="173">
      <c r="E173" s="2"/>
      <c r="F173" s="2"/>
    </row>
    <row r="174">
      <c r="E174" s="2"/>
      <c r="F174" s="2"/>
    </row>
    <row r="175">
      <c r="E175" s="2"/>
      <c r="F175" s="2"/>
    </row>
    <row r="176">
      <c r="E176" s="2"/>
      <c r="F176" s="2"/>
    </row>
    <row r="177">
      <c r="E177" s="2"/>
      <c r="F177" s="2"/>
    </row>
    <row r="178">
      <c r="E178" s="2"/>
      <c r="F178" s="2"/>
    </row>
    <row r="179">
      <c r="E179" s="2"/>
      <c r="F179" s="2"/>
    </row>
    <row r="180">
      <c r="E180" s="2"/>
      <c r="F180" s="2"/>
    </row>
    <row r="181">
      <c r="E181" s="2"/>
      <c r="F181" s="2"/>
    </row>
    <row r="182">
      <c r="E182" s="2"/>
      <c r="F182" s="2"/>
    </row>
    <row r="183">
      <c r="E183" s="2"/>
      <c r="F183" s="2"/>
    </row>
    <row r="184">
      <c r="E184" s="2"/>
      <c r="F184" s="2"/>
    </row>
    <row r="185">
      <c r="E185" s="2"/>
      <c r="F185" s="2"/>
    </row>
    <row r="186">
      <c r="E186" s="2"/>
      <c r="F186" s="2"/>
    </row>
    <row r="187">
      <c r="E187" s="2"/>
      <c r="F187" s="2"/>
    </row>
    <row r="188">
      <c r="E188" s="2"/>
      <c r="F188" s="2"/>
    </row>
    <row r="189">
      <c r="E189" s="2"/>
      <c r="F189" s="2"/>
    </row>
    <row r="190">
      <c r="E190" s="2"/>
      <c r="F190" s="2"/>
    </row>
    <row r="191">
      <c r="E191" s="2"/>
      <c r="F191" s="2"/>
    </row>
    <row r="192">
      <c r="E192" s="2"/>
      <c r="F192" s="2"/>
    </row>
    <row r="193">
      <c r="E193" s="2"/>
      <c r="F193" s="2"/>
    </row>
    <row r="194">
      <c r="E194" s="2"/>
      <c r="F194" s="2"/>
    </row>
    <row r="195">
      <c r="E195" s="2"/>
      <c r="F195" s="2"/>
    </row>
    <row r="196">
      <c r="E196" s="2"/>
      <c r="F196" s="2"/>
    </row>
    <row r="197">
      <c r="E197" s="2"/>
      <c r="F197" s="2"/>
    </row>
    <row r="198">
      <c r="E198" s="2"/>
      <c r="F198" s="2"/>
    </row>
    <row r="199">
      <c r="E199" s="2"/>
      <c r="F199" s="2"/>
    </row>
    <row r="200">
      <c r="E200" s="2"/>
      <c r="F200" s="2"/>
    </row>
    <row r="201">
      <c r="E201" s="2"/>
      <c r="F201" s="2"/>
    </row>
    <row r="202">
      <c r="E202" s="2"/>
      <c r="F202" s="2"/>
    </row>
    <row r="203">
      <c r="E203" s="2"/>
      <c r="F203" s="2"/>
    </row>
    <row r="204">
      <c r="E204" s="2"/>
      <c r="F204" s="2"/>
    </row>
    <row r="205">
      <c r="E205" s="2"/>
      <c r="F205" s="2"/>
    </row>
    <row r="206">
      <c r="E206" s="2"/>
      <c r="F206" s="2"/>
    </row>
    <row r="207">
      <c r="E207" s="2"/>
      <c r="F207" s="2"/>
    </row>
    <row r="208">
      <c r="E208" s="2"/>
      <c r="F208" s="2"/>
    </row>
    <row r="209">
      <c r="E209" s="2"/>
      <c r="F209" s="2"/>
    </row>
    <row r="210">
      <c r="E210" s="2"/>
      <c r="F210" s="2"/>
    </row>
    <row r="211">
      <c r="E211" s="2"/>
      <c r="F211" s="2"/>
    </row>
    <row r="212">
      <c r="E212" s="2"/>
      <c r="F212" s="2"/>
    </row>
    <row r="213">
      <c r="E213" s="2"/>
      <c r="F213" s="2"/>
    </row>
    <row r="214">
      <c r="E214" s="2"/>
      <c r="F214" s="2"/>
    </row>
    <row r="215">
      <c r="E215" s="2"/>
      <c r="F215" s="2"/>
    </row>
    <row r="216">
      <c r="E216" s="2"/>
      <c r="F216" s="2"/>
    </row>
    <row r="217">
      <c r="E217" s="2"/>
      <c r="F217" s="2"/>
    </row>
    <row r="218">
      <c r="E218" s="2"/>
      <c r="F218" s="2"/>
    </row>
    <row r="219">
      <c r="E219" s="2"/>
      <c r="F219" s="2"/>
    </row>
    <row r="220">
      <c r="E220" s="2"/>
      <c r="F220" s="2"/>
    </row>
    <row r="221">
      <c r="E221" s="2"/>
      <c r="F221" s="2"/>
    </row>
    <row r="222">
      <c r="E222" s="2"/>
      <c r="F222" s="2"/>
    </row>
    <row r="223">
      <c r="E223" s="2"/>
      <c r="F223" s="2"/>
    </row>
    <row r="224">
      <c r="E224" s="2"/>
      <c r="F224" s="2"/>
    </row>
    <row r="225">
      <c r="E225" s="2"/>
      <c r="F225" s="2"/>
    </row>
    <row r="226">
      <c r="E226" s="2"/>
      <c r="F226" s="2"/>
    </row>
    <row r="227">
      <c r="E227" s="2"/>
      <c r="F227" s="2"/>
    </row>
    <row r="228">
      <c r="E228" s="2"/>
      <c r="F228" s="2"/>
    </row>
    <row r="229">
      <c r="E229" s="2"/>
      <c r="F229" s="2"/>
    </row>
    <row r="230">
      <c r="E230" s="2"/>
      <c r="F230" s="2"/>
    </row>
    <row r="231">
      <c r="E231" s="2"/>
      <c r="F231" s="2"/>
    </row>
    <row r="232">
      <c r="E232" s="2"/>
      <c r="F232" s="2"/>
    </row>
    <row r="233">
      <c r="E233" s="2"/>
      <c r="F233" s="2"/>
    </row>
    <row r="234">
      <c r="E234" s="2"/>
      <c r="F234" s="2"/>
    </row>
    <row r="235">
      <c r="E235" s="2"/>
      <c r="F235" s="2"/>
    </row>
    <row r="236">
      <c r="E236" s="2"/>
      <c r="F236" s="2"/>
    </row>
    <row r="237">
      <c r="E237" s="2"/>
      <c r="F237" s="2"/>
    </row>
    <row r="238">
      <c r="E238" s="2"/>
      <c r="F238" s="2"/>
    </row>
    <row r="239">
      <c r="E239" s="2"/>
      <c r="F239" s="2"/>
    </row>
    <row r="240">
      <c r="E240" s="2"/>
      <c r="F240" s="2"/>
    </row>
    <row r="241">
      <c r="E241" s="2"/>
      <c r="F241" s="2"/>
    </row>
    <row r="242">
      <c r="E242" s="2"/>
      <c r="F242" s="2"/>
    </row>
    <row r="243">
      <c r="E243" s="2"/>
      <c r="F243" s="2"/>
    </row>
    <row r="244">
      <c r="E244" s="2"/>
      <c r="F244" s="2"/>
    </row>
    <row r="245">
      <c r="E245" s="2"/>
      <c r="F245" s="2"/>
    </row>
    <row r="246">
      <c r="E246" s="2"/>
      <c r="F246" s="2"/>
    </row>
    <row r="247">
      <c r="E247" s="2"/>
      <c r="F247" s="2"/>
    </row>
    <row r="248">
      <c r="E248" s="2"/>
      <c r="F248" s="2"/>
    </row>
    <row r="249">
      <c r="E249" s="2"/>
      <c r="F249" s="2"/>
    </row>
    <row r="250">
      <c r="E250" s="2"/>
      <c r="F250" s="2"/>
    </row>
    <row r="251">
      <c r="E251" s="2"/>
      <c r="F251" s="2"/>
    </row>
    <row r="252">
      <c r="E252" s="2"/>
      <c r="F252" s="2"/>
    </row>
    <row r="253">
      <c r="E253" s="2"/>
      <c r="F253" s="2"/>
    </row>
    <row r="254">
      <c r="E254" s="2"/>
      <c r="F254" s="2"/>
    </row>
    <row r="255">
      <c r="E255" s="2"/>
      <c r="F255" s="2"/>
    </row>
    <row r="256">
      <c r="E256" s="2"/>
      <c r="F256" s="2"/>
    </row>
    <row r="257">
      <c r="E257" s="2"/>
      <c r="F257" s="2"/>
    </row>
    <row r="258">
      <c r="E258" s="2"/>
      <c r="F258" s="2"/>
    </row>
    <row r="259">
      <c r="E259" s="2"/>
      <c r="F259" s="2"/>
    </row>
    <row r="260">
      <c r="E260" s="2"/>
      <c r="F260" s="2"/>
    </row>
    <row r="261">
      <c r="E261" s="2"/>
      <c r="F261" s="2"/>
    </row>
    <row r="262">
      <c r="E262" s="2"/>
      <c r="F262" s="2"/>
    </row>
    <row r="263">
      <c r="E263" s="2"/>
      <c r="F263" s="2"/>
    </row>
    <row r="264">
      <c r="E264" s="2"/>
      <c r="F264" s="2"/>
    </row>
    <row r="265">
      <c r="E265" s="2"/>
      <c r="F265" s="2"/>
    </row>
    <row r="266">
      <c r="E266" s="2"/>
      <c r="F266" s="2"/>
    </row>
    <row r="267">
      <c r="E267" s="2"/>
      <c r="F267" s="2"/>
    </row>
    <row r="268">
      <c r="E268" s="2"/>
      <c r="F268" s="2"/>
    </row>
    <row r="269">
      <c r="E269" s="2"/>
      <c r="F269" s="2"/>
    </row>
    <row r="270">
      <c r="E270" s="2"/>
      <c r="F270" s="2"/>
    </row>
    <row r="271">
      <c r="E271" s="2"/>
      <c r="F271" s="2"/>
    </row>
    <row r="272">
      <c r="E272" s="2"/>
      <c r="F272" s="2"/>
    </row>
    <row r="273">
      <c r="E273" s="2"/>
      <c r="F273" s="2"/>
    </row>
    <row r="274">
      <c r="E274" s="2"/>
      <c r="F274" s="2"/>
    </row>
    <row r="275">
      <c r="E275" s="2"/>
      <c r="F275" s="2"/>
    </row>
    <row r="276">
      <c r="E276" s="2"/>
      <c r="F276" s="2"/>
    </row>
    <row r="277">
      <c r="E277" s="2"/>
      <c r="F277" s="2"/>
    </row>
    <row r="278">
      <c r="E278" s="2"/>
      <c r="F278" s="2"/>
    </row>
    <row r="279">
      <c r="E279" s="2"/>
      <c r="F279" s="2"/>
    </row>
    <row r="280">
      <c r="E280" s="2"/>
      <c r="F280" s="2"/>
    </row>
    <row r="281">
      <c r="E281" s="2"/>
      <c r="F281" s="2"/>
    </row>
    <row r="282">
      <c r="E282" s="2"/>
      <c r="F282" s="2"/>
    </row>
    <row r="283">
      <c r="E283" s="2"/>
      <c r="F283" s="2"/>
    </row>
    <row r="284">
      <c r="E284" s="2"/>
      <c r="F284" s="2"/>
    </row>
    <row r="285">
      <c r="E285" s="2"/>
      <c r="F285" s="2"/>
    </row>
    <row r="286">
      <c r="E286" s="2"/>
      <c r="F286" s="2"/>
    </row>
    <row r="287">
      <c r="E287" s="2"/>
      <c r="F287" s="2"/>
    </row>
    <row r="288">
      <c r="E288" s="2"/>
      <c r="F288" s="2"/>
    </row>
    <row r="289">
      <c r="E289" s="2"/>
      <c r="F289" s="2"/>
    </row>
    <row r="290">
      <c r="E290" s="2"/>
      <c r="F290" s="2"/>
    </row>
    <row r="291">
      <c r="E291" s="2"/>
      <c r="F291" s="2"/>
    </row>
    <row r="292">
      <c r="E292" s="2"/>
      <c r="F292" s="2"/>
    </row>
    <row r="293">
      <c r="E293" s="2"/>
      <c r="F293" s="2"/>
    </row>
    <row r="294">
      <c r="E294" s="2"/>
      <c r="F294" s="2"/>
    </row>
    <row r="295">
      <c r="E295" s="2"/>
      <c r="F295" s="2"/>
    </row>
    <row r="296">
      <c r="E296" s="2"/>
      <c r="F296" s="2"/>
    </row>
    <row r="297">
      <c r="E297" s="2"/>
      <c r="F297" s="2"/>
    </row>
    <row r="298">
      <c r="E298" s="2"/>
      <c r="F298" s="2"/>
    </row>
    <row r="299">
      <c r="E299" s="2"/>
      <c r="F299" s="2"/>
    </row>
    <row r="300">
      <c r="E300" s="2"/>
      <c r="F300" s="2"/>
    </row>
    <row r="301">
      <c r="E301" s="2"/>
      <c r="F301" s="2"/>
    </row>
    <row r="302">
      <c r="E302" s="2"/>
      <c r="F302" s="2"/>
    </row>
    <row r="303">
      <c r="E303" s="2"/>
      <c r="F303" s="2"/>
    </row>
    <row r="304">
      <c r="E304" s="2"/>
      <c r="F304" s="2"/>
    </row>
    <row r="305">
      <c r="E305" s="2"/>
      <c r="F305" s="2"/>
    </row>
    <row r="306">
      <c r="E306" s="2"/>
      <c r="F306" s="2"/>
    </row>
    <row r="307">
      <c r="E307" s="2"/>
      <c r="F307" s="2"/>
    </row>
    <row r="308">
      <c r="E308" s="2"/>
      <c r="F308" s="2"/>
    </row>
    <row r="309">
      <c r="E309" s="2"/>
      <c r="F309" s="2"/>
    </row>
    <row r="310">
      <c r="E310" s="2"/>
      <c r="F310" s="2"/>
    </row>
    <row r="311">
      <c r="E311" s="2"/>
      <c r="F311" s="2"/>
    </row>
    <row r="312">
      <c r="E312" s="2"/>
      <c r="F312" s="2"/>
    </row>
    <row r="313">
      <c r="E313" s="2"/>
      <c r="F313" s="2"/>
    </row>
    <row r="314">
      <c r="E314" s="2"/>
      <c r="F314" s="2"/>
    </row>
    <row r="315">
      <c r="E315" s="2"/>
      <c r="F315" s="2"/>
    </row>
    <row r="316">
      <c r="E316" s="2"/>
      <c r="F316" s="2"/>
    </row>
    <row r="317">
      <c r="E317" s="2"/>
      <c r="F317" s="2"/>
    </row>
    <row r="318">
      <c r="E318" s="2"/>
      <c r="F318" s="2"/>
    </row>
    <row r="319">
      <c r="E319" s="2"/>
      <c r="F319" s="2"/>
    </row>
    <row r="320">
      <c r="E320" s="2"/>
      <c r="F320" s="2"/>
    </row>
    <row r="321">
      <c r="E321" s="2"/>
      <c r="F321" s="2"/>
    </row>
    <row r="322">
      <c r="E322" s="2"/>
      <c r="F322" s="2"/>
    </row>
    <row r="323">
      <c r="E323" s="2"/>
      <c r="F323" s="2"/>
    </row>
    <row r="324">
      <c r="E324" s="2"/>
      <c r="F324" s="2"/>
    </row>
    <row r="325">
      <c r="E325" s="2"/>
      <c r="F325" s="2"/>
    </row>
    <row r="326">
      <c r="E326" s="2"/>
      <c r="F326" s="2"/>
    </row>
    <row r="327">
      <c r="E327" s="2"/>
      <c r="F327" s="2"/>
    </row>
    <row r="328">
      <c r="E328" s="2"/>
      <c r="F328" s="2"/>
    </row>
    <row r="329">
      <c r="E329" s="2"/>
      <c r="F329" s="2"/>
    </row>
    <row r="330">
      <c r="E330" s="2"/>
      <c r="F330" s="2"/>
    </row>
    <row r="331">
      <c r="E331" s="2"/>
      <c r="F331" s="2"/>
    </row>
    <row r="332">
      <c r="E332" s="2"/>
      <c r="F332" s="2"/>
    </row>
    <row r="333">
      <c r="E333" s="2"/>
      <c r="F333" s="2"/>
    </row>
    <row r="334">
      <c r="E334" s="2"/>
      <c r="F334" s="2"/>
    </row>
    <row r="335">
      <c r="E335" s="2"/>
      <c r="F335" s="2"/>
    </row>
    <row r="336">
      <c r="E336" s="2"/>
      <c r="F336" s="2"/>
    </row>
    <row r="337">
      <c r="E337" s="2"/>
      <c r="F337" s="2"/>
    </row>
    <row r="338">
      <c r="E338" s="2"/>
      <c r="F338" s="2"/>
    </row>
    <row r="339">
      <c r="E339" s="2"/>
      <c r="F339" s="2"/>
    </row>
    <row r="340">
      <c r="E340" s="2"/>
      <c r="F340" s="2"/>
    </row>
    <row r="341">
      <c r="E341" s="2"/>
      <c r="F341" s="2"/>
    </row>
    <row r="342">
      <c r="E342" s="2"/>
      <c r="F342" s="2"/>
    </row>
    <row r="343">
      <c r="E343" s="2"/>
      <c r="F343" s="2"/>
    </row>
    <row r="344">
      <c r="E344" s="2"/>
      <c r="F344" s="2"/>
    </row>
    <row r="345">
      <c r="E345" s="2"/>
      <c r="F345" s="2"/>
    </row>
    <row r="346">
      <c r="E346" s="2"/>
      <c r="F346" s="2"/>
    </row>
    <row r="347">
      <c r="E347" s="2"/>
      <c r="F347" s="2"/>
    </row>
    <row r="348">
      <c r="E348" s="2"/>
      <c r="F348" s="2"/>
    </row>
    <row r="349">
      <c r="E349" s="2"/>
      <c r="F349" s="2"/>
    </row>
    <row r="350">
      <c r="E350" s="2"/>
      <c r="F350" s="2"/>
    </row>
    <row r="351">
      <c r="E351" s="2"/>
      <c r="F351" s="2"/>
    </row>
    <row r="352">
      <c r="E352" s="2"/>
      <c r="F352" s="2"/>
    </row>
    <row r="353">
      <c r="E353" s="2"/>
      <c r="F353" s="2"/>
    </row>
    <row r="354">
      <c r="E354" s="2"/>
      <c r="F354" s="2"/>
    </row>
    <row r="355">
      <c r="E355" s="2"/>
      <c r="F355" s="2"/>
    </row>
    <row r="356">
      <c r="E356" s="2"/>
      <c r="F356" s="2"/>
    </row>
    <row r="357">
      <c r="E357" s="2"/>
      <c r="F357" s="2"/>
    </row>
    <row r="358">
      <c r="E358" s="2"/>
      <c r="F358" s="2"/>
    </row>
    <row r="359">
      <c r="E359" s="2"/>
      <c r="F359" s="2"/>
    </row>
    <row r="360">
      <c r="E360" s="2"/>
      <c r="F360" s="2"/>
    </row>
    <row r="361">
      <c r="E361" s="2"/>
      <c r="F361" s="2"/>
    </row>
    <row r="362">
      <c r="E362" s="2"/>
      <c r="F362" s="2"/>
    </row>
    <row r="363">
      <c r="E363" s="2"/>
      <c r="F363" s="2"/>
    </row>
    <row r="364">
      <c r="E364" s="2"/>
      <c r="F364" s="2"/>
    </row>
    <row r="365">
      <c r="E365" s="2"/>
      <c r="F365" s="2"/>
    </row>
    <row r="366">
      <c r="E366" s="2"/>
      <c r="F366" s="2"/>
    </row>
    <row r="367">
      <c r="E367" s="2"/>
      <c r="F367" s="2"/>
    </row>
    <row r="368">
      <c r="E368" s="2"/>
      <c r="F368" s="2"/>
    </row>
    <row r="369">
      <c r="E369" s="2"/>
      <c r="F369" s="2"/>
    </row>
    <row r="370">
      <c r="E370" s="2"/>
      <c r="F370" s="2"/>
    </row>
    <row r="371">
      <c r="E371" s="2"/>
      <c r="F371" s="2"/>
    </row>
    <row r="372">
      <c r="E372" s="2"/>
      <c r="F372" s="2"/>
    </row>
    <row r="373">
      <c r="E373" s="2"/>
      <c r="F373" s="2"/>
    </row>
    <row r="374">
      <c r="E374" s="2"/>
      <c r="F374" s="2"/>
    </row>
    <row r="375">
      <c r="E375" s="2"/>
      <c r="F375" s="2"/>
    </row>
    <row r="376">
      <c r="E376" s="2"/>
      <c r="F376" s="2"/>
    </row>
    <row r="377">
      <c r="E377" s="2"/>
      <c r="F377" s="2"/>
    </row>
    <row r="378">
      <c r="E378" s="2"/>
      <c r="F378" s="2"/>
    </row>
    <row r="379">
      <c r="E379" s="2"/>
      <c r="F379" s="2"/>
    </row>
    <row r="380">
      <c r="E380" s="2"/>
      <c r="F380" s="2"/>
    </row>
    <row r="381">
      <c r="E381" s="2"/>
      <c r="F381" s="2"/>
    </row>
    <row r="382">
      <c r="E382" s="2"/>
      <c r="F382" s="2"/>
    </row>
    <row r="383">
      <c r="E383" s="2"/>
      <c r="F383" s="2"/>
    </row>
    <row r="384">
      <c r="E384" s="2"/>
      <c r="F384" s="2"/>
    </row>
    <row r="385">
      <c r="E385" s="2"/>
      <c r="F385" s="2"/>
    </row>
    <row r="386">
      <c r="E386" s="2"/>
      <c r="F386" s="2"/>
    </row>
    <row r="387">
      <c r="E387" s="2"/>
      <c r="F387" s="2"/>
    </row>
    <row r="388">
      <c r="E388" s="2"/>
      <c r="F388" s="2"/>
    </row>
    <row r="389">
      <c r="E389" s="2"/>
      <c r="F389" s="2"/>
    </row>
    <row r="390">
      <c r="E390" s="2"/>
      <c r="F390" s="2"/>
    </row>
    <row r="391">
      <c r="E391" s="2"/>
      <c r="F391" s="2"/>
    </row>
    <row r="392">
      <c r="E392" s="2"/>
      <c r="F392" s="2"/>
    </row>
    <row r="393">
      <c r="E393" s="2"/>
      <c r="F393" s="2"/>
    </row>
    <row r="394">
      <c r="E394" s="2"/>
      <c r="F394" s="2"/>
    </row>
    <row r="395">
      <c r="E395" s="2"/>
      <c r="F395" s="2"/>
    </row>
    <row r="396">
      <c r="E396" s="2"/>
      <c r="F396" s="2"/>
    </row>
    <row r="397">
      <c r="E397" s="2"/>
      <c r="F397" s="2"/>
    </row>
    <row r="398">
      <c r="E398" s="2"/>
      <c r="F398" s="2"/>
    </row>
    <row r="399">
      <c r="E399" s="2"/>
      <c r="F399" s="2"/>
    </row>
    <row r="400">
      <c r="E400" s="2"/>
      <c r="F400" s="2"/>
    </row>
    <row r="401">
      <c r="E401" s="2"/>
      <c r="F401" s="2"/>
    </row>
    <row r="402">
      <c r="E402" s="2"/>
      <c r="F402" s="2"/>
    </row>
    <row r="403">
      <c r="E403" s="2"/>
      <c r="F403" s="2"/>
    </row>
    <row r="404">
      <c r="E404" s="2"/>
      <c r="F404" s="2"/>
    </row>
    <row r="405">
      <c r="E405" s="2"/>
      <c r="F405" s="2"/>
    </row>
    <row r="406">
      <c r="E406" s="2"/>
      <c r="F406" s="2"/>
    </row>
    <row r="407">
      <c r="E407" s="2"/>
      <c r="F407" s="2"/>
    </row>
    <row r="408">
      <c r="E408" s="2"/>
      <c r="F408" s="2"/>
    </row>
    <row r="409">
      <c r="E409" s="2"/>
      <c r="F409" s="2"/>
    </row>
    <row r="410">
      <c r="E410" s="2"/>
      <c r="F410" s="2"/>
    </row>
    <row r="411">
      <c r="E411" s="2"/>
      <c r="F411" s="2"/>
    </row>
    <row r="412">
      <c r="E412" s="2"/>
      <c r="F412" s="2"/>
    </row>
    <row r="413">
      <c r="E413" s="2"/>
      <c r="F413" s="2"/>
    </row>
    <row r="414">
      <c r="E414" s="2"/>
      <c r="F414" s="2"/>
    </row>
    <row r="415">
      <c r="E415" s="2"/>
      <c r="F415" s="2"/>
    </row>
    <row r="416">
      <c r="E416" s="2"/>
      <c r="F416" s="2"/>
    </row>
    <row r="417">
      <c r="E417" s="2"/>
      <c r="F417" s="2"/>
    </row>
    <row r="418">
      <c r="E418" s="2"/>
      <c r="F418" s="2"/>
    </row>
    <row r="419">
      <c r="E419" s="2"/>
      <c r="F419" s="2"/>
    </row>
    <row r="420">
      <c r="E420" s="2"/>
      <c r="F420" s="2"/>
    </row>
    <row r="421">
      <c r="E421" s="2"/>
      <c r="F421" s="2"/>
    </row>
    <row r="422">
      <c r="E422" s="2"/>
      <c r="F422" s="2"/>
    </row>
    <row r="423">
      <c r="E423" s="2"/>
      <c r="F423" s="2"/>
    </row>
    <row r="424">
      <c r="E424" s="2"/>
      <c r="F424" s="2"/>
    </row>
    <row r="425">
      <c r="E425" s="2"/>
      <c r="F425" s="2"/>
    </row>
    <row r="426">
      <c r="E426" s="2"/>
      <c r="F426" s="2"/>
    </row>
    <row r="427">
      <c r="E427" s="2"/>
      <c r="F427" s="2"/>
    </row>
    <row r="428">
      <c r="E428" s="2"/>
      <c r="F428" s="2"/>
    </row>
    <row r="429">
      <c r="E429" s="2"/>
      <c r="F429" s="2"/>
    </row>
    <row r="430">
      <c r="E430" s="2"/>
      <c r="F430" s="2"/>
    </row>
    <row r="431">
      <c r="E431" s="2"/>
      <c r="F431" s="2"/>
    </row>
    <row r="432">
      <c r="E432" s="2"/>
      <c r="F432" s="2"/>
    </row>
    <row r="433">
      <c r="E433" s="2"/>
      <c r="F433" s="2"/>
    </row>
    <row r="434">
      <c r="E434" s="2"/>
      <c r="F434" s="2"/>
    </row>
    <row r="435">
      <c r="E435" s="2"/>
      <c r="F435" s="2"/>
    </row>
    <row r="436">
      <c r="E436" s="2"/>
      <c r="F436" s="2"/>
    </row>
    <row r="437">
      <c r="E437" s="2"/>
      <c r="F437" s="2"/>
    </row>
    <row r="438">
      <c r="E438" s="2"/>
      <c r="F438" s="2"/>
    </row>
    <row r="439">
      <c r="E439" s="2"/>
      <c r="F439" s="2"/>
    </row>
    <row r="440">
      <c r="E440" s="2"/>
      <c r="F440" s="2"/>
    </row>
    <row r="441">
      <c r="E441" s="2"/>
      <c r="F441" s="2"/>
    </row>
    <row r="442">
      <c r="E442" s="2"/>
      <c r="F442" s="2"/>
    </row>
    <row r="443">
      <c r="E443" s="2"/>
      <c r="F443" s="2"/>
    </row>
    <row r="444">
      <c r="E444" s="2"/>
      <c r="F444" s="2"/>
    </row>
    <row r="445">
      <c r="E445" s="2"/>
      <c r="F445" s="2"/>
    </row>
    <row r="446">
      <c r="E446" s="2"/>
      <c r="F446" s="2"/>
    </row>
    <row r="447">
      <c r="E447" s="2"/>
      <c r="F447" s="2"/>
    </row>
    <row r="448">
      <c r="E448" s="2"/>
      <c r="F448" s="2"/>
    </row>
    <row r="449">
      <c r="E449" s="2"/>
      <c r="F449" s="2"/>
    </row>
    <row r="450">
      <c r="E450" s="2"/>
      <c r="F450" s="2"/>
    </row>
    <row r="451">
      <c r="E451" s="2"/>
      <c r="F451" s="2"/>
    </row>
    <row r="452">
      <c r="E452" s="2"/>
      <c r="F452" s="2"/>
    </row>
    <row r="453">
      <c r="E453" s="2"/>
      <c r="F453" s="2"/>
    </row>
    <row r="454">
      <c r="E454" s="2"/>
      <c r="F454" s="2"/>
    </row>
    <row r="455">
      <c r="E455" s="2"/>
      <c r="F455" s="2"/>
    </row>
    <row r="456">
      <c r="E456" s="2"/>
      <c r="F456" s="2"/>
    </row>
    <row r="457">
      <c r="E457" s="2"/>
      <c r="F457" s="2"/>
    </row>
    <row r="458">
      <c r="E458" s="2"/>
      <c r="F458" s="2"/>
    </row>
    <row r="459">
      <c r="E459" s="2"/>
      <c r="F459" s="2"/>
    </row>
    <row r="460">
      <c r="E460" s="2"/>
      <c r="F460" s="2"/>
    </row>
    <row r="461">
      <c r="E461" s="2"/>
      <c r="F461" s="2"/>
    </row>
    <row r="462">
      <c r="E462" s="2"/>
      <c r="F462" s="2"/>
    </row>
    <row r="463">
      <c r="E463" s="2"/>
      <c r="F463" s="2"/>
    </row>
    <row r="464">
      <c r="E464" s="2"/>
      <c r="F464" s="2"/>
    </row>
    <row r="465">
      <c r="E465" s="2"/>
      <c r="F465" s="2"/>
    </row>
    <row r="466">
      <c r="E466" s="2"/>
      <c r="F466" s="2"/>
    </row>
    <row r="467">
      <c r="E467" s="2"/>
      <c r="F467" s="2"/>
    </row>
    <row r="468">
      <c r="E468" s="2"/>
      <c r="F468" s="2"/>
    </row>
    <row r="469">
      <c r="E469" s="2"/>
      <c r="F469" s="2"/>
    </row>
    <row r="470">
      <c r="E470" s="2"/>
      <c r="F470" s="2"/>
    </row>
    <row r="471">
      <c r="E471" s="2"/>
      <c r="F471" s="2"/>
    </row>
    <row r="472">
      <c r="E472" s="2"/>
      <c r="F472" s="2"/>
    </row>
    <row r="473">
      <c r="E473" s="2"/>
      <c r="F473" s="2"/>
    </row>
    <row r="474">
      <c r="E474" s="2"/>
      <c r="F474" s="2"/>
    </row>
    <row r="475">
      <c r="E475" s="2"/>
      <c r="F475" s="2"/>
    </row>
    <row r="476">
      <c r="E476" s="2"/>
      <c r="F476" s="2"/>
    </row>
    <row r="477">
      <c r="E477" s="2"/>
      <c r="F477" s="2"/>
    </row>
    <row r="478">
      <c r="E478" s="2"/>
      <c r="F478" s="2"/>
    </row>
    <row r="479">
      <c r="E479" s="2"/>
      <c r="F479" s="2"/>
    </row>
    <row r="480">
      <c r="E480" s="2"/>
      <c r="F480" s="2"/>
    </row>
    <row r="481">
      <c r="E481" s="2"/>
      <c r="F481" s="2"/>
    </row>
    <row r="482">
      <c r="E482" s="2"/>
      <c r="F482" s="2"/>
    </row>
    <row r="483">
      <c r="E483" s="2"/>
      <c r="F483" s="2"/>
    </row>
    <row r="484">
      <c r="E484" s="2"/>
      <c r="F484" s="2"/>
    </row>
    <row r="485">
      <c r="E485" s="2"/>
      <c r="F485" s="2"/>
    </row>
    <row r="486">
      <c r="E486" s="2"/>
      <c r="F486" s="2"/>
    </row>
    <row r="487">
      <c r="E487" s="2"/>
      <c r="F487" s="2"/>
    </row>
    <row r="488">
      <c r="E488" s="2"/>
      <c r="F488" s="2"/>
    </row>
    <row r="489">
      <c r="E489" s="2"/>
      <c r="F489" s="2"/>
    </row>
    <row r="490">
      <c r="E490" s="2"/>
      <c r="F490" s="2"/>
    </row>
    <row r="491">
      <c r="E491" s="2"/>
      <c r="F491" s="2"/>
    </row>
    <row r="492">
      <c r="E492" s="2"/>
      <c r="F492" s="2"/>
    </row>
    <row r="493">
      <c r="E493" s="2"/>
      <c r="F493" s="2"/>
    </row>
    <row r="494">
      <c r="E494" s="2"/>
      <c r="F494" s="2"/>
    </row>
    <row r="495">
      <c r="E495" s="2"/>
      <c r="F495" s="2"/>
    </row>
    <row r="496">
      <c r="E496" s="2"/>
      <c r="F496" s="2"/>
    </row>
    <row r="497">
      <c r="E497" s="2"/>
      <c r="F497" s="2"/>
    </row>
    <row r="498">
      <c r="E498" s="2"/>
      <c r="F498" s="2"/>
    </row>
    <row r="499">
      <c r="E499" s="2"/>
      <c r="F499" s="2"/>
    </row>
    <row r="500">
      <c r="E500" s="2"/>
      <c r="F500" s="2"/>
    </row>
    <row r="501">
      <c r="E501" s="2"/>
      <c r="F501" s="2"/>
    </row>
    <row r="502">
      <c r="E502" s="2"/>
      <c r="F502" s="2"/>
    </row>
    <row r="503">
      <c r="E503" s="2"/>
      <c r="F503" s="2"/>
    </row>
    <row r="504">
      <c r="E504" s="2"/>
      <c r="F504" s="2"/>
    </row>
    <row r="505">
      <c r="E505" s="2"/>
      <c r="F505" s="2"/>
    </row>
    <row r="506">
      <c r="E506" s="2"/>
      <c r="F506" s="2"/>
    </row>
    <row r="507">
      <c r="E507" s="2"/>
      <c r="F507" s="2"/>
    </row>
    <row r="508">
      <c r="E508" s="2"/>
      <c r="F508" s="2"/>
    </row>
    <row r="509">
      <c r="E509" s="2"/>
      <c r="F509" s="2"/>
    </row>
    <row r="510">
      <c r="E510" s="2"/>
      <c r="F510" s="2"/>
    </row>
    <row r="511">
      <c r="E511" s="2"/>
      <c r="F511" s="2"/>
    </row>
    <row r="512">
      <c r="E512" s="2"/>
      <c r="F512" s="2"/>
    </row>
    <row r="513">
      <c r="E513" s="2"/>
      <c r="F513" s="2"/>
    </row>
    <row r="514">
      <c r="E514" s="2"/>
      <c r="F514" s="2"/>
    </row>
    <row r="515">
      <c r="E515" s="2"/>
      <c r="F515" s="2"/>
    </row>
    <row r="516">
      <c r="E516" s="2"/>
      <c r="F516" s="2"/>
    </row>
    <row r="517">
      <c r="E517" s="2"/>
      <c r="F517" s="2"/>
    </row>
    <row r="518">
      <c r="E518" s="2"/>
      <c r="F518" s="2"/>
    </row>
    <row r="519">
      <c r="E519" s="2"/>
      <c r="F519" s="2"/>
    </row>
    <row r="520">
      <c r="E520" s="2"/>
      <c r="F520" s="2"/>
    </row>
    <row r="521">
      <c r="E521" s="2"/>
      <c r="F521" s="2"/>
    </row>
    <row r="522">
      <c r="E522" s="2"/>
      <c r="F522" s="2"/>
    </row>
    <row r="523">
      <c r="E523" s="2"/>
      <c r="F523" s="2"/>
    </row>
    <row r="524">
      <c r="E524" s="2"/>
      <c r="F524" s="2"/>
    </row>
    <row r="525">
      <c r="E525" s="2"/>
      <c r="F525" s="2"/>
    </row>
    <row r="526">
      <c r="E526" s="2"/>
      <c r="F526" s="2"/>
    </row>
    <row r="527">
      <c r="E527" s="2"/>
      <c r="F527" s="2"/>
    </row>
    <row r="528">
      <c r="E528" s="2"/>
      <c r="F528" s="2"/>
    </row>
    <row r="529">
      <c r="E529" s="2"/>
      <c r="F529" s="2"/>
    </row>
    <row r="530">
      <c r="E530" s="2"/>
      <c r="F530" s="2"/>
    </row>
    <row r="531">
      <c r="E531" s="2"/>
      <c r="F531" s="2"/>
    </row>
    <row r="532">
      <c r="E532" s="2"/>
      <c r="F532" s="2"/>
    </row>
    <row r="533">
      <c r="E533" s="2"/>
      <c r="F533" s="2"/>
    </row>
    <row r="534">
      <c r="E534" s="2"/>
      <c r="F534" s="2"/>
    </row>
    <row r="535">
      <c r="E535" s="2"/>
      <c r="F535" s="2"/>
    </row>
    <row r="536">
      <c r="E536" s="2"/>
      <c r="F536" s="2"/>
    </row>
    <row r="537">
      <c r="E537" s="2"/>
      <c r="F537" s="2"/>
    </row>
    <row r="538">
      <c r="E538" s="2"/>
      <c r="F538" s="2"/>
    </row>
    <row r="539">
      <c r="E539" s="2"/>
      <c r="F539" s="2"/>
    </row>
    <row r="540">
      <c r="E540" s="2"/>
      <c r="F540" s="2"/>
    </row>
    <row r="541">
      <c r="E541" s="2"/>
      <c r="F541" s="2"/>
    </row>
    <row r="542">
      <c r="E542" s="2"/>
      <c r="F542" s="2"/>
    </row>
    <row r="543">
      <c r="E543" s="2"/>
      <c r="F543" s="2"/>
    </row>
    <row r="544">
      <c r="E544" s="2"/>
      <c r="F544" s="2"/>
    </row>
    <row r="545">
      <c r="E545" s="2"/>
      <c r="F545" s="2"/>
    </row>
    <row r="546">
      <c r="E546" s="2"/>
      <c r="F546" s="2"/>
    </row>
    <row r="547">
      <c r="E547" s="2"/>
      <c r="F547" s="2"/>
    </row>
    <row r="548">
      <c r="E548" s="2"/>
      <c r="F548" s="2"/>
    </row>
    <row r="549">
      <c r="E549" s="2"/>
      <c r="F549" s="2"/>
    </row>
    <row r="550">
      <c r="E550" s="2"/>
      <c r="F550" s="2"/>
    </row>
    <row r="551">
      <c r="E551" s="2"/>
      <c r="F551" s="2"/>
    </row>
    <row r="552">
      <c r="E552" s="2"/>
      <c r="F552" s="2"/>
    </row>
    <row r="553">
      <c r="E553" s="2"/>
      <c r="F553" s="2"/>
    </row>
    <row r="554">
      <c r="E554" s="2"/>
      <c r="F554" s="2"/>
    </row>
    <row r="555">
      <c r="E555" s="2"/>
      <c r="F555" s="2"/>
    </row>
    <row r="556">
      <c r="E556" s="2"/>
      <c r="F556" s="2"/>
    </row>
    <row r="557">
      <c r="E557" s="2"/>
      <c r="F557" s="2"/>
    </row>
    <row r="558">
      <c r="E558" s="2"/>
      <c r="F558" s="2"/>
    </row>
    <row r="559">
      <c r="E559" s="2"/>
      <c r="F559" s="2"/>
    </row>
    <row r="560">
      <c r="E560" s="2"/>
      <c r="F560" s="2"/>
    </row>
    <row r="561">
      <c r="E561" s="2"/>
      <c r="F561" s="2"/>
    </row>
    <row r="562">
      <c r="E562" s="2"/>
      <c r="F562" s="2"/>
    </row>
    <row r="563">
      <c r="E563" s="2"/>
      <c r="F563" s="2"/>
    </row>
    <row r="564">
      <c r="E564" s="2"/>
      <c r="F564" s="2"/>
    </row>
    <row r="565">
      <c r="E565" s="2"/>
      <c r="F565" s="2"/>
    </row>
    <row r="566">
      <c r="E566" s="2"/>
      <c r="F566" s="2"/>
    </row>
    <row r="567">
      <c r="E567" s="2"/>
      <c r="F567" s="2"/>
    </row>
    <row r="568">
      <c r="E568" s="2"/>
      <c r="F568" s="2"/>
    </row>
    <row r="569">
      <c r="E569" s="2"/>
      <c r="F569" s="2"/>
    </row>
    <row r="570">
      <c r="E570" s="2"/>
      <c r="F570" s="2"/>
    </row>
    <row r="571">
      <c r="E571" s="2"/>
      <c r="F571" s="2"/>
    </row>
    <row r="572">
      <c r="E572" s="2"/>
      <c r="F572" s="2"/>
    </row>
    <row r="573">
      <c r="E573" s="2"/>
      <c r="F573" s="2"/>
    </row>
    <row r="574">
      <c r="E574" s="2"/>
      <c r="F574" s="2"/>
    </row>
    <row r="575">
      <c r="E575" s="2"/>
      <c r="F575" s="2"/>
    </row>
    <row r="576">
      <c r="E576" s="2"/>
      <c r="F576" s="2"/>
    </row>
    <row r="577">
      <c r="E577" s="2"/>
      <c r="F577" s="2"/>
    </row>
    <row r="578">
      <c r="E578" s="2"/>
      <c r="F578" s="2"/>
    </row>
    <row r="579">
      <c r="E579" s="2"/>
      <c r="F579" s="2"/>
    </row>
    <row r="580">
      <c r="E580" s="2"/>
      <c r="F580" s="2"/>
    </row>
    <row r="581">
      <c r="E581" s="2"/>
      <c r="F581" s="2"/>
    </row>
    <row r="582">
      <c r="E582" s="2"/>
      <c r="F582" s="2"/>
    </row>
    <row r="583">
      <c r="E583" s="2"/>
      <c r="F583" s="2"/>
    </row>
    <row r="584">
      <c r="E584" s="2"/>
      <c r="F584" s="2"/>
    </row>
    <row r="585">
      <c r="E585" s="2"/>
      <c r="F585" s="2"/>
    </row>
    <row r="586">
      <c r="E586" s="2"/>
      <c r="F586" s="2"/>
    </row>
    <row r="587">
      <c r="E587" s="2"/>
      <c r="F587" s="2"/>
    </row>
    <row r="588">
      <c r="E588" s="2"/>
      <c r="F588" s="2"/>
    </row>
    <row r="589">
      <c r="E589" s="2"/>
      <c r="F589" s="2"/>
    </row>
    <row r="590">
      <c r="E590" s="2"/>
      <c r="F590" s="2"/>
    </row>
    <row r="591">
      <c r="E591" s="2"/>
      <c r="F591" s="2"/>
    </row>
    <row r="592">
      <c r="E592" s="2"/>
      <c r="F592" s="2"/>
    </row>
    <row r="593">
      <c r="E593" s="2"/>
      <c r="F593" s="2"/>
    </row>
    <row r="594">
      <c r="E594" s="2"/>
      <c r="F594" s="2"/>
    </row>
    <row r="595">
      <c r="E595" s="2"/>
      <c r="F595" s="2"/>
    </row>
    <row r="596">
      <c r="E596" s="2"/>
      <c r="F596" s="2"/>
    </row>
    <row r="597">
      <c r="E597" s="2"/>
      <c r="F597" s="2"/>
    </row>
    <row r="598">
      <c r="E598" s="2"/>
      <c r="F598" s="2"/>
    </row>
    <row r="599">
      <c r="E599" s="2"/>
      <c r="F599" s="2"/>
    </row>
    <row r="600">
      <c r="E600" s="2"/>
      <c r="F600" s="2"/>
    </row>
    <row r="601">
      <c r="E601" s="2"/>
      <c r="F601" s="2"/>
    </row>
    <row r="602">
      <c r="E602" s="2"/>
      <c r="F602" s="2"/>
    </row>
    <row r="603">
      <c r="E603" s="2"/>
      <c r="F603" s="2"/>
    </row>
    <row r="604">
      <c r="E604" s="2"/>
      <c r="F604" s="2"/>
    </row>
    <row r="605">
      <c r="E605" s="2"/>
      <c r="F605" s="2"/>
    </row>
    <row r="606">
      <c r="E606" s="2"/>
      <c r="F606" s="2"/>
    </row>
    <row r="607">
      <c r="E607" s="2"/>
      <c r="F607" s="2"/>
    </row>
    <row r="608">
      <c r="E608" s="2"/>
      <c r="F608" s="2"/>
    </row>
    <row r="609">
      <c r="E609" s="2"/>
      <c r="F609" s="2"/>
    </row>
    <row r="610">
      <c r="E610" s="2"/>
      <c r="F610" s="2"/>
    </row>
    <row r="611">
      <c r="E611" s="2"/>
      <c r="F611" s="2"/>
    </row>
    <row r="612">
      <c r="E612" s="2"/>
      <c r="F612" s="2"/>
    </row>
    <row r="613">
      <c r="E613" s="2"/>
      <c r="F613" s="2"/>
    </row>
    <row r="614">
      <c r="E614" s="2"/>
      <c r="F614" s="2"/>
    </row>
    <row r="615">
      <c r="E615" s="2"/>
      <c r="F615" s="2"/>
    </row>
    <row r="616">
      <c r="E616" s="2"/>
      <c r="F616" s="2"/>
    </row>
    <row r="617">
      <c r="E617" s="2"/>
      <c r="F617" s="2"/>
    </row>
    <row r="618">
      <c r="E618" s="2"/>
      <c r="F618" s="2"/>
    </row>
    <row r="619">
      <c r="E619" s="2"/>
      <c r="F619" s="2"/>
    </row>
    <row r="620">
      <c r="E620" s="2"/>
      <c r="F620" s="2"/>
    </row>
    <row r="621">
      <c r="E621" s="2"/>
      <c r="F621" s="2"/>
    </row>
    <row r="622">
      <c r="E622" s="2"/>
      <c r="F622" s="2"/>
    </row>
    <row r="623">
      <c r="E623" s="2"/>
      <c r="F623" s="2"/>
    </row>
    <row r="624">
      <c r="E624" s="2"/>
      <c r="F624" s="2"/>
    </row>
    <row r="625">
      <c r="E625" s="2"/>
      <c r="F625" s="2"/>
    </row>
    <row r="626">
      <c r="E626" s="2"/>
      <c r="F626" s="2"/>
    </row>
    <row r="627">
      <c r="E627" s="2"/>
      <c r="F627" s="2"/>
    </row>
    <row r="628">
      <c r="E628" s="2"/>
      <c r="F628" s="2"/>
    </row>
    <row r="629">
      <c r="E629" s="2"/>
      <c r="F629" s="2"/>
    </row>
    <row r="630">
      <c r="E630" s="2"/>
      <c r="F630" s="2"/>
    </row>
    <row r="631">
      <c r="E631" s="2"/>
      <c r="F631" s="2"/>
    </row>
    <row r="632">
      <c r="E632" s="2"/>
      <c r="F632" s="2"/>
    </row>
    <row r="633">
      <c r="E633" s="2"/>
      <c r="F633" s="2"/>
    </row>
    <row r="634">
      <c r="E634" s="2"/>
      <c r="F634" s="2"/>
    </row>
    <row r="635">
      <c r="E635" s="2"/>
      <c r="F635" s="2"/>
    </row>
    <row r="636">
      <c r="E636" s="2"/>
      <c r="F636" s="2"/>
    </row>
    <row r="637">
      <c r="E637" s="2"/>
      <c r="F637" s="2"/>
    </row>
    <row r="638">
      <c r="E638" s="2"/>
      <c r="F638" s="2"/>
    </row>
    <row r="639">
      <c r="E639" s="2"/>
      <c r="F639" s="2"/>
    </row>
    <row r="640">
      <c r="E640" s="2"/>
      <c r="F640" s="2"/>
    </row>
    <row r="641">
      <c r="E641" s="2"/>
      <c r="F641" s="2"/>
    </row>
    <row r="642">
      <c r="E642" s="2"/>
      <c r="F642" s="2"/>
    </row>
    <row r="643">
      <c r="E643" s="2"/>
      <c r="F643" s="2"/>
    </row>
    <row r="644">
      <c r="E644" s="2"/>
      <c r="F644" s="2"/>
    </row>
    <row r="645">
      <c r="E645" s="2"/>
      <c r="F645" s="2"/>
    </row>
    <row r="646">
      <c r="E646" s="2"/>
      <c r="F646" s="2"/>
    </row>
    <row r="647">
      <c r="E647" s="2"/>
      <c r="F647" s="2"/>
    </row>
    <row r="648">
      <c r="E648" s="2"/>
      <c r="F648" s="2"/>
    </row>
    <row r="649">
      <c r="E649" s="2"/>
      <c r="F649" s="2"/>
    </row>
    <row r="650">
      <c r="E650" s="2"/>
      <c r="F650" s="2"/>
    </row>
    <row r="651">
      <c r="E651" s="2"/>
      <c r="F651" s="2"/>
    </row>
    <row r="652">
      <c r="E652" s="2"/>
      <c r="F652" s="2"/>
    </row>
    <row r="653">
      <c r="E653" s="2"/>
      <c r="F653" s="2"/>
    </row>
    <row r="654">
      <c r="E654" s="2"/>
      <c r="F654" s="2"/>
    </row>
    <row r="655">
      <c r="E655" s="2"/>
      <c r="F655" s="2"/>
    </row>
    <row r="656">
      <c r="E656" s="2"/>
      <c r="F656" s="2"/>
    </row>
    <row r="657">
      <c r="E657" s="2"/>
      <c r="F657" s="2"/>
    </row>
    <row r="658">
      <c r="E658" s="2"/>
      <c r="F658" s="2"/>
    </row>
    <row r="659">
      <c r="E659" s="2"/>
      <c r="F659" s="2"/>
    </row>
    <row r="660">
      <c r="E660" s="2"/>
      <c r="F660" s="2"/>
    </row>
    <row r="661">
      <c r="E661" s="2"/>
      <c r="F661" s="2"/>
    </row>
    <row r="662">
      <c r="E662" s="2"/>
      <c r="F662" s="2"/>
    </row>
    <row r="663">
      <c r="E663" s="2"/>
      <c r="F663" s="2"/>
    </row>
    <row r="664">
      <c r="E664" s="2"/>
      <c r="F664" s="2"/>
    </row>
    <row r="665">
      <c r="E665" s="2"/>
      <c r="F665" s="2"/>
    </row>
    <row r="666">
      <c r="E666" s="2"/>
      <c r="F666" s="2"/>
    </row>
    <row r="667">
      <c r="E667" s="2"/>
      <c r="F667" s="2"/>
    </row>
    <row r="668">
      <c r="E668" s="2"/>
      <c r="F668" s="2"/>
    </row>
    <row r="669">
      <c r="E669" s="2"/>
      <c r="F669" s="2"/>
    </row>
    <row r="670">
      <c r="E670" s="2"/>
      <c r="F670" s="2"/>
    </row>
    <row r="671">
      <c r="E671" s="2"/>
      <c r="F671" s="2"/>
    </row>
    <row r="672">
      <c r="E672" s="2"/>
      <c r="F672" s="2"/>
    </row>
    <row r="673">
      <c r="E673" s="2"/>
      <c r="F673" s="2"/>
    </row>
    <row r="674">
      <c r="E674" s="2"/>
      <c r="F674" s="2"/>
    </row>
    <row r="675">
      <c r="E675" s="2"/>
      <c r="F675" s="2"/>
    </row>
    <row r="676">
      <c r="E676" s="2"/>
      <c r="F676" s="2"/>
    </row>
    <row r="677">
      <c r="E677" s="2"/>
      <c r="F677" s="2"/>
    </row>
    <row r="678">
      <c r="E678" s="2"/>
      <c r="F678" s="2"/>
    </row>
    <row r="679">
      <c r="E679" s="2"/>
      <c r="F679" s="2"/>
    </row>
    <row r="680">
      <c r="E680" s="2"/>
      <c r="F680" s="2"/>
    </row>
    <row r="681">
      <c r="E681" s="2"/>
      <c r="F681" s="2"/>
    </row>
    <row r="682">
      <c r="E682" s="2"/>
      <c r="F682" s="2"/>
    </row>
    <row r="683">
      <c r="E683" s="2"/>
      <c r="F683" s="2"/>
    </row>
    <row r="684">
      <c r="E684" s="2"/>
      <c r="F684" s="2"/>
    </row>
    <row r="685">
      <c r="E685" s="2"/>
      <c r="F685" s="2"/>
    </row>
    <row r="686">
      <c r="E686" s="2"/>
      <c r="F686" s="2"/>
    </row>
    <row r="687">
      <c r="E687" s="2"/>
      <c r="F687" s="2"/>
    </row>
    <row r="688">
      <c r="E688" s="2"/>
      <c r="F688" s="2"/>
    </row>
    <row r="689">
      <c r="E689" s="2"/>
      <c r="F689" s="2"/>
    </row>
    <row r="690">
      <c r="E690" s="2"/>
      <c r="F690" s="2"/>
    </row>
    <row r="691">
      <c r="E691" s="2"/>
      <c r="F691" s="2"/>
    </row>
    <row r="692">
      <c r="E692" s="2"/>
      <c r="F692" s="2"/>
    </row>
    <row r="693">
      <c r="E693" s="2"/>
      <c r="F693" s="2"/>
    </row>
    <row r="694">
      <c r="E694" s="2"/>
      <c r="F694" s="2"/>
    </row>
    <row r="695">
      <c r="E695" s="2"/>
      <c r="F695" s="2"/>
    </row>
    <row r="696">
      <c r="E696" s="2"/>
      <c r="F696" s="2"/>
    </row>
    <row r="697">
      <c r="E697" s="2"/>
      <c r="F697" s="2"/>
    </row>
    <row r="698">
      <c r="E698" s="2"/>
      <c r="F698" s="2"/>
    </row>
    <row r="699">
      <c r="E699" s="2"/>
      <c r="F699" s="2"/>
    </row>
    <row r="700">
      <c r="E700" s="2"/>
      <c r="F700" s="2"/>
    </row>
    <row r="701">
      <c r="E701" s="2"/>
      <c r="F701" s="2"/>
    </row>
    <row r="702">
      <c r="E702" s="2"/>
      <c r="F702" s="2"/>
    </row>
    <row r="703">
      <c r="E703" s="2"/>
      <c r="F703" s="2"/>
    </row>
    <row r="704">
      <c r="E704" s="2"/>
      <c r="F704" s="2"/>
    </row>
    <row r="705">
      <c r="E705" s="2"/>
      <c r="F705" s="2"/>
    </row>
    <row r="706">
      <c r="E706" s="2"/>
      <c r="F706" s="2"/>
    </row>
    <row r="707">
      <c r="E707" s="2"/>
      <c r="F707" s="2"/>
    </row>
    <row r="708">
      <c r="E708" s="2"/>
      <c r="F708" s="2"/>
    </row>
    <row r="709">
      <c r="E709" s="2"/>
      <c r="F709" s="2"/>
    </row>
    <row r="710">
      <c r="E710" s="2"/>
      <c r="F710" s="2"/>
    </row>
    <row r="711">
      <c r="E711" s="2"/>
      <c r="F711" s="2"/>
    </row>
    <row r="712">
      <c r="E712" s="2"/>
      <c r="F712" s="2"/>
    </row>
    <row r="713">
      <c r="E713" s="2"/>
      <c r="F713" s="2"/>
    </row>
    <row r="714">
      <c r="E714" s="2"/>
      <c r="F714" s="2"/>
    </row>
    <row r="715">
      <c r="E715" s="2"/>
      <c r="F715" s="2"/>
    </row>
    <row r="716">
      <c r="E716" s="2"/>
      <c r="F716" s="2"/>
    </row>
    <row r="717">
      <c r="E717" s="2"/>
      <c r="F717" s="2"/>
    </row>
    <row r="718">
      <c r="E718" s="2"/>
      <c r="F718" s="2"/>
    </row>
    <row r="719">
      <c r="E719" s="2"/>
      <c r="F719" s="2"/>
    </row>
    <row r="720">
      <c r="E720" s="2"/>
      <c r="F720" s="2"/>
    </row>
    <row r="721">
      <c r="E721" s="2"/>
      <c r="F721" s="2"/>
    </row>
    <row r="722">
      <c r="E722" s="2"/>
      <c r="F722" s="2"/>
    </row>
    <row r="723">
      <c r="E723" s="2"/>
      <c r="F723" s="2"/>
    </row>
    <row r="724">
      <c r="E724" s="2"/>
      <c r="F724" s="2"/>
    </row>
    <row r="725">
      <c r="E725" s="2"/>
      <c r="F725" s="2"/>
    </row>
    <row r="726">
      <c r="E726" s="2"/>
      <c r="F726" s="2"/>
    </row>
    <row r="727">
      <c r="E727" s="2"/>
      <c r="F727" s="2"/>
    </row>
    <row r="728">
      <c r="E728" s="2"/>
      <c r="F728" s="2"/>
    </row>
    <row r="729">
      <c r="E729" s="2"/>
      <c r="F729" s="2"/>
    </row>
    <row r="730">
      <c r="E730" s="2"/>
      <c r="F730" s="2"/>
    </row>
    <row r="731">
      <c r="E731" s="2"/>
      <c r="F731" s="2"/>
    </row>
    <row r="732">
      <c r="E732" s="2"/>
      <c r="F732" s="2"/>
    </row>
    <row r="733">
      <c r="E733" s="2"/>
      <c r="F733" s="2"/>
    </row>
    <row r="734">
      <c r="E734" s="2"/>
      <c r="F734" s="2"/>
    </row>
    <row r="735">
      <c r="E735" s="2"/>
      <c r="F735" s="2"/>
    </row>
    <row r="736">
      <c r="E736" s="2"/>
      <c r="F736" s="2"/>
    </row>
    <row r="737">
      <c r="E737" s="2"/>
      <c r="F737" s="2"/>
    </row>
    <row r="738">
      <c r="E738" s="2"/>
      <c r="F738" s="2"/>
    </row>
    <row r="739">
      <c r="E739" s="2"/>
      <c r="F739" s="2"/>
    </row>
    <row r="740">
      <c r="E740" s="2"/>
      <c r="F740" s="2"/>
    </row>
    <row r="741">
      <c r="E741" s="2"/>
      <c r="F741" s="2"/>
    </row>
    <row r="742">
      <c r="E742" s="2"/>
      <c r="F742" s="2"/>
    </row>
    <row r="743">
      <c r="E743" s="2"/>
      <c r="F743" s="2"/>
    </row>
    <row r="744">
      <c r="E744" s="2"/>
      <c r="F744" s="2"/>
    </row>
    <row r="745">
      <c r="E745" s="2"/>
      <c r="F745" s="2"/>
    </row>
    <row r="746">
      <c r="E746" s="2"/>
      <c r="F746" s="2"/>
    </row>
    <row r="747">
      <c r="E747" s="2"/>
      <c r="F747" s="2"/>
    </row>
    <row r="748">
      <c r="E748" s="2"/>
      <c r="F748" s="2"/>
    </row>
    <row r="749">
      <c r="E749" s="2"/>
      <c r="F749" s="2"/>
    </row>
    <row r="750">
      <c r="E750" s="2"/>
      <c r="F750" s="2"/>
    </row>
    <row r="751">
      <c r="E751" s="2"/>
      <c r="F751" s="2"/>
    </row>
    <row r="752">
      <c r="E752" s="2"/>
      <c r="F752" s="2"/>
    </row>
    <row r="753">
      <c r="E753" s="2"/>
      <c r="F753" s="2"/>
    </row>
    <row r="754">
      <c r="E754" s="2"/>
      <c r="F754" s="2"/>
    </row>
    <row r="755">
      <c r="E755" s="2"/>
      <c r="F755" s="2"/>
    </row>
    <row r="756">
      <c r="E756" s="2"/>
      <c r="F756" s="2"/>
    </row>
    <row r="757">
      <c r="E757" s="2"/>
      <c r="F757" s="2"/>
    </row>
    <row r="758">
      <c r="E758" s="2"/>
      <c r="F758" s="2"/>
    </row>
    <row r="759">
      <c r="E759" s="2"/>
      <c r="F759" s="2"/>
    </row>
    <row r="760">
      <c r="E760" s="2"/>
      <c r="F760" s="2"/>
    </row>
    <row r="761">
      <c r="E761" s="2"/>
      <c r="F761" s="2"/>
    </row>
    <row r="762">
      <c r="E762" s="2"/>
      <c r="F762" s="2"/>
    </row>
    <row r="763">
      <c r="E763" s="2"/>
      <c r="F763" s="2"/>
    </row>
    <row r="764">
      <c r="E764" s="2"/>
      <c r="F764" s="2"/>
    </row>
    <row r="765">
      <c r="E765" s="2"/>
      <c r="F765" s="2"/>
    </row>
    <row r="766">
      <c r="E766" s="2"/>
      <c r="F766" s="2"/>
    </row>
    <row r="767">
      <c r="E767" s="2"/>
      <c r="F767" s="2"/>
    </row>
    <row r="768">
      <c r="E768" s="2"/>
      <c r="F768" s="2"/>
    </row>
    <row r="769">
      <c r="E769" s="2"/>
      <c r="F769" s="2"/>
    </row>
    <row r="770">
      <c r="E770" s="2"/>
      <c r="F770" s="2"/>
    </row>
    <row r="771">
      <c r="E771" s="2"/>
      <c r="F771" s="2"/>
    </row>
    <row r="772">
      <c r="E772" s="2"/>
      <c r="F772" s="2"/>
    </row>
    <row r="773">
      <c r="E773" s="2"/>
      <c r="F773" s="2"/>
    </row>
    <row r="774">
      <c r="E774" s="2"/>
      <c r="F774" s="2"/>
    </row>
    <row r="775">
      <c r="E775" s="2"/>
      <c r="F775" s="2"/>
    </row>
    <row r="776">
      <c r="E776" s="2"/>
      <c r="F776" s="2"/>
    </row>
    <row r="777">
      <c r="E777" s="2"/>
      <c r="F777" s="2"/>
    </row>
    <row r="778">
      <c r="E778" s="2"/>
      <c r="F778" s="2"/>
    </row>
    <row r="779">
      <c r="E779" s="2"/>
      <c r="F779" s="2"/>
    </row>
    <row r="780">
      <c r="E780" s="2"/>
      <c r="F780" s="2"/>
    </row>
    <row r="781">
      <c r="E781" s="2"/>
      <c r="F781" s="2"/>
    </row>
    <row r="782">
      <c r="E782" s="2"/>
      <c r="F782" s="2"/>
    </row>
    <row r="783">
      <c r="E783" s="2"/>
      <c r="F783" s="2"/>
    </row>
    <row r="784">
      <c r="E784" s="2"/>
      <c r="F784" s="2"/>
    </row>
    <row r="785">
      <c r="E785" s="2"/>
      <c r="F785" s="2"/>
    </row>
    <row r="786">
      <c r="E786" s="2"/>
      <c r="F786" s="2"/>
    </row>
    <row r="787">
      <c r="E787" s="2"/>
      <c r="F787" s="2"/>
    </row>
    <row r="788">
      <c r="E788" s="2"/>
      <c r="F788" s="2"/>
    </row>
    <row r="789">
      <c r="E789" s="2"/>
      <c r="F789" s="2"/>
    </row>
    <row r="790">
      <c r="E790" s="2"/>
      <c r="F790" s="2"/>
    </row>
    <row r="791">
      <c r="E791" s="2"/>
      <c r="F791" s="2"/>
    </row>
    <row r="792">
      <c r="E792" s="2"/>
      <c r="F792" s="2"/>
    </row>
    <row r="793">
      <c r="E793" s="2"/>
      <c r="F793" s="2"/>
    </row>
    <row r="794">
      <c r="E794" s="2"/>
      <c r="F794" s="2"/>
    </row>
    <row r="795">
      <c r="E795" s="2"/>
      <c r="F795" s="2"/>
    </row>
    <row r="796">
      <c r="E796" s="2"/>
      <c r="F796" s="2"/>
    </row>
    <row r="797">
      <c r="E797" s="2"/>
      <c r="F797" s="2"/>
    </row>
    <row r="798">
      <c r="E798" s="2"/>
      <c r="F798" s="2"/>
    </row>
    <row r="799">
      <c r="E799" s="2"/>
      <c r="F799" s="2"/>
    </row>
    <row r="800">
      <c r="E800" s="2"/>
      <c r="F800" s="2"/>
    </row>
    <row r="801">
      <c r="E801" s="2"/>
      <c r="F801" s="2"/>
    </row>
    <row r="802">
      <c r="E802" s="2"/>
      <c r="F802" s="2"/>
    </row>
    <row r="803">
      <c r="E803" s="2"/>
      <c r="F803" s="2"/>
    </row>
    <row r="804">
      <c r="E804" s="2"/>
      <c r="F804" s="2"/>
    </row>
    <row r="805">
      <c r="E805" s="2"/>
      <c r="F805" s="2"/>
    </row>
    <row r="806">
      <c r="E806" s="2"/>
      <c r="F806" s="2"/>
    </row>
    <row r="807">
      <c r="E807" s="2"/>
      <c r="F807" s="2"/>
    </row>
    <row r="808">
      <c r="E808" s="2"/>
      <c r="F808" s="2"/>
    </row>
    <row r="809">
      <c r="E809" s="2"/>
      <c r="F809" s="2"/>
    </row>
    <row r="810">
      <c r="E810" s="2"/>
      <c r="F810" s="2"/>
    </row>
    <row r="811">
      <c r="E811" s="2"/>
      <c r="F811" s="2"/>
    </row>
    <row r="812">
      <c r="E812" s="2"/>
      <c r="F812" s="2"/>
    </row>
    <row r="813">
      <c r="E813" s="2"/>
      <c r="F813" s="2"/>
    </row>
    <row r="814">
      <c r="E814" s="2"/>
      <c r="F814" s="2"/>
    </row>
    <row r="815">
      <c r="E815" s="2"/>
      <c r="F815" s="2"/>
    </row>
    <row r="816">
      <c r="E816" s="2"/>
      <c r="F816" s="2"/>
    </row>
    <row r="817">
      <c r="E817" s="2"/>
      <c r="F817" s="2"/>
    </row>
    <row r="818">
      <c r="E818" s="2"/>
      <c r="F818" s="2"/>
    </row>
    <row r="819">
      <c r="E819" s="2"/>
      <c r="F819" s="2"/>
    </row>
    <row r="820">
      <c r="E820" s="2"/>
      <c r="F820" s="2"/>
    </row>
    <row r="821">
      <c r="E821" s="2"/>
      <c r="F821" s="2"/>
    </row>
    <row r="822">
      <c r="E822" s="2"/>
      <c r="F822" s="2"/>
    </row>
    <row r="823">
      <c r="E823" s="2"/>
      <c r="F823" s="2"/>
    </row>
    <row r="824">
      <c r="E824" s="2"/>
      <c r="F824" s="2"/>
    </row>
    <row r="825">
      <c r="E825" s="2"/>
      <c r="F825" s="2"/>
    </row>
    <row r="826">
      <c r="E826" s="2"/>
      <c r="F826" s="2"/>
    </row>
    <row r="827">
      <c r="E827" s="2"/>
      <c r="F827" s="2"/>
    </row>
    <row r="828">
      <c r="E828" s="2"/>
      <c r="F828" s="2"/>
    </row>
    <row r="829">
      <c r="E829" s="2"/>
      <c r="F829" s="2"/>
    </row>
    <row r="830">
      <c r="E830" s="2"/>
      <c r="F830" s="2"/>
    </row>
    <row r="831">
      <c r="E831" s="2"/>
      <c r="F831" s="2"/>
    </row>
    <row r="832">
      <c r="E832" s="2"/>
      <c r="F832" s="2"/>
    </row>
    <row r="833">
      <c r="E833" s="2"/>
      <c r="F833" s="2"/>
    </row>
    <row r="834">
      <c r="E834" s="2"/>
      <c r="F834" s="2"/>
    </row>
    <row r="835">
      <c r="E835" s="2"/>
      <c r="F835" s="2"/>
    </row>
    <row r="836">
      <c r="E836" s="2"/>
      <c r="F836" s="2"/>
    </row>
    <row r="837">
      <c r="E837" s="2"/>
      <c r="F837" s="2"/>
    </row>
    <row r="838">
      <c r="E838" s="2"/>
      <c r="F838" s="2"/>
    </row>
    <row r="839">
      <c r="E839" s="2"/>
      <c r="F839" s="2"/>
    </row>
    <row r="840">
      <c r="E840" s="2"/>
      <c r="F840" s="2"/>
    </row>
    <row r="841">
      <c r="E841" s="2"/>
      <c r="F841" s="2"/>
    </row>
    <row r="842">
      <c r="E842" s="2"/>
      <c r="F842" s="2"/>
    </row>
    <row r="843">
      <c r="E843" s="2"/>
      <c r="F843" s="2"/>
    </row>
    <row r="844">
      <c r="E844" s="2"/>
      <c r="F844" s="2"/>
    </row>
    <row r="845">
      <c r="E845" s="2"/>
      <c r="F845" s="2"/>
    </row>
    <row r="846">
      <c r="E846" s="2"/>
      <c r="F846" s="2"/>
    </row>
    <row r="847">
      <c r="E847" s="2"/>
      <c r="F847" s="2"/>
    </row>
    <row r="848">
      <c r="E848" s="2"/>
      <c r="F848" s="2"/>
    </row>
    <row r="849">
      <c r="E849" s="2"/>
      <c r="F849" s="2"/>
    </row>
    <row r="850">
      <c r="E850" s="2"/>
      <c r="F850" s="2"/>
    </row>
    <row r="851">
      <c r="E851" s="2"/>
      <c r="F851" s="2"/>
    </row>
    <row r="852">
      <c r="E852" s="2"/>
      <c r="F852" s="2"/>
    </row>
    <row r="853">
      <c r="E853" s="2"/>
      <c r="F853" s="2"/>
    </row>
    <row r="854">
      <c r="E854" s="2"/>
      <c r="F854" s="2"/>
    </row>
    <row r="855">
      <c r="E855" s="2"/>
      <c r="F855" s="2"/>
    </row>
    <row r="856">
      <c r="E856" s="2"/>
      <c r="F856" s="2"/>
    </row>
    <row r="857">
      <c r="E857" s="2"/>
      <c r="F857" s="2"/>
    </row>
    <row r="858">
      <c r="E858" s="2"/>
      <c r="F858" s="2"/>
    </row>
    <row r="859">
      <c r="E859" s="2"/>
      <c r="F859" s="2"/>
    </row>
    <row r="860">
      <c r="E860" s="2"/>
      <c r="F860" s="2"/>
    </row>
    <row r="861">
      <c r="E861" s="2"/>
      <c r="F861" s="2"/>
    </row>
    <row r="862">
      <c r="E862" s="2"/>
      <c r="F862" s="2"/>
    </row>
    <row r="863">
      <c r="E863" s="2"/>
      <c r="F863" s="2"/>
    </row>
    <row r="864">
      <c r="E864" s="2"/>
      <c r="F864" s="2"/>
    </row>
    <row r="865">
      <c r="E865" s="2"/>
      <c r="F865" s="2"/>
    </row>
    <row r="866">
      <c r="E866" s="2"/>
      <c r="F866" s="2"/>
    </row>
    <row r="867">
      <c r="E867" s="2"/>
      <c r="F867" s="2"/>
    </row>
    <row r="868">
      <c r="E868" s="2"/>
      <c r="F868" s="2"/>
    </row>
    <row r="869">
      <c r="E869" s="2"/>
      <c r="F869" s="2"/>
    </row>
    <row r="870">
      <c r="E870" s="2"/>
      <c r="F870" s="2"/>
    </row>
    <row r="871">
      <c r="E871" s="2"/>
      <c r="F871" s="2"/>
    </row>
    <row r="872">
      <c r="E872" s="2"/>
      <c r="F872" s="2"/>
    </row>
    <row r="873">
      <c r="E873" s="2"/>
      <c r="F873" s="2"/>
    </row>
    <row r="874">
      <c r="E874" s="2"/>
      <c r="F874" s="2"/>
    </row>
    <row r="875">
      <c r="E875" s="2"/>
      <c r="F875" s="2"/>
    </row>
    <row r="876">
      <c r="E876" s="2"/>
      <c r="F876" s="2"/>
    </row>
    <row r="877">
      <c r="E877" s="2"/>
      <c r="F877" s="2"/>
    </row>
    <row r="878">
      <c r="E878" s="2"/>
      <c r="F878" s="2"/>
    </row>
    <row r="879">
      <c r="E879" s="2"/>
      <c r="F879" s="2"/>
    </row>
    <row r="880">
      <c r="E880" s="2"/>
      <c r="F880" s="2"/>
    </row>
    <row r="881">
      <c r="E881" s="2"/>
      <c r="F881" s="2"/>
    </row>
    <row r="882">
      <c r="E882" s="2"/>
      <c r="F882" s="2"/>
    </row>
    <row r="883">
      <c r="E883" s="2"/>
      <c r="F883" s="2"/>
    </row>
    <row r="884">
      <c r="E884" s="2"/>
      <c r="F884" s="2"/>
    </row>
    <row r="885">
      <c r="E885" s="2"/>
      <c r="F885" s="2"/>
    </row>
    <row r="886">
      <c r="E886" s="2"/>
      <c r="F886" s="2"/>
    </row>
    <row r="887">
      <c r="E887" s="2"/>
      <c r="F887" s="2"/>
    </row>
    <row r="888">
      <c r="E888" s="2"/>
      <c r="F888" s="2"/>
    </row>
    <row r="889">
      <c r="E889" s="2"/>
      <c r="F889" s="2"/>
    </row>
    <row r="890">
      <c r="E890" s="2"/>
      <c r="F890" s="2"/>
    </row>
    <row r="891">
      <c r="E891" s="2"/>
      <c r="F891" s="2"/>
    </row>
    <row r="892">
      <c r="E892" s="2"/>
      <c r="F892" s="2"/>
    </row>
    <row r="893">
      <c r="E893" s="2"/>
      <c r="F893" s="2"/>
    </row>
    <row r="894">
      <c r="E894" s="2"/>
      <c r="F894" s="2"/>
    </row>
    <row r="895">
      <c r="E895" s="2"/>
      <c r="F895" s="2"/>
    </row>
    <row r="896">
      <c r="E896" s="2"/>
      <c r="F896" s="2"/>
    </row>
    <row r="897">
      <c r="E897" s="2"/>
      <c r="F897" s="2"/>
    </row>
    <row r="898">
      <c r="E898" s="2"/>
      <c r="F898" s="2"/>
    </row>
    <row r="899">
      <c r="E899" s="2"/>
      <c r="F899" s="2"/>
    </row>
    <row r="900">
      <c r="E900" s="2"/>
      <c r="F900" s="2"/>
    </row>
    <row r="901">
      <c r="E901" s="2"/>
      <c r="F901" s="2"/>
    </row>
    <row r="902">
      <c r="E902" s="2"/>
      <c r="F902" s="2"/>
    </row>
    <row r="903">
      <c r="E903" s="2"/>
      <c r="F903" s="2"/>
    </row>
    <row r="904">
      <c r="E904" s="2"/>
      <c r="F904" s="2"/>
    </row>
    <row r="905">
      <c r="E905" s="2"/>
      <c r="F905" s="2"/>
    </row>
    <row r="906">
      <c r="E906" s="2"/>
      <c r="F906" s="2"/>
    </row>
    <row r="907">
      <c r="E907" s="2"/>
      <c r="F907" s="2"/>
    </row>
    <row r="908">
      <c r="E908" s="2"/>
      <c r="F908" s="2"/>
    </row>
    <row r="909">
      <c r="E909" s="2"/>
      <c r="F909" s="2"/>
    </row>
    <row r="910">
      <c r="E910" s="2"/>
      <c r="F910" s="2"/>
    </row>
    <row r="911">
      <c r="E911" s="2"/>
      <c r="F911" s="2"/>
    </row>
    <row r="912">
      <c r="E912" s="2"/>
      <c r="F912" s="2"/>
    </row>
    <row r="913">
      <c r="E913" s="2"/>
      <c r="F913" s="2"/>
    </row>
    <row r="914">
      <c r="E914" s="2"/>
      <c r="F914" s="2"/>
    </row>
    <row r="915">
      <c r="E915" s="2"/>
      <c r="F915" s="2"/>
    </row>
    <row r="916">
      <c r="E916" s="2"/>
      <c r="F916" s="2"/>
    </row>
    <row r="917">
      <c r="E917" s="2"/>
      <c r="F917" s="2"/>
    </row>
    <row r="918">
      <c r="E918" s="2"/>
      <c r="F918" s="2"/>
    </row>
    <row r="919">
      <c r="E919" s="2"/>
      <c r="F919" s="2"/>
    </row>
    <row r="920">
      <c r="E920" s="2"/>
      <c r="F920" s="2"/>
    </row>
    <row r="921">
      <c r="E921" s="2"/>
      <c r="F921" s="2"/>
    </row>
    <row r="922">
      <c r="E922" s="2"/>
      <c r="F922" s="2"/>
    </row>
    <row r="923">
      <c r="E923" s="2"/>
      <c r="F923" s="2"/>
    </row>
    <row r="924">
      <c r="E924" s="2"/>
      <c r="F924" s="2"/>
    </row>
    <row r="925">
      <c r="E925" s="2"/>
      <c r="F925" s="2"/>
    </row>
    <row r="926">
      <c r="E926" s="2"/>
      <c r="F926" s="2"/>
    </row>
    <row r="927">
      <c r="E927" s="2"/>
      <c r="F927" s="2"/>
    </row>
    <row r="928">
      <c r="E928" s="2"/>
      <c r="F928" s="2"/>
    </row>
    <row r="929">
      <c r="E929" s="2"/>
      <c r="F929" s="2"/>
    </row>
    <row r="930">
      <c r="E930" s="2"/>
      <c r="F930" s="2"/>
    </row>
    <row r="931">
      <c r="E931" s="2"/>
      <c r="F931" s="2"/>
    </row>
    <row r="932">
      <c r="E932" s="2"/>
      <c r="F932" s="2"/>
    </row>
    <row r="933">
      <c r="E933" s="2"/>
      <c r="F933" s="2"/>
    </row>
    <row r="934">
      <c r="E934" s="2"/>
      <c r="F934" s="2"/>
    </row>
    <row r="935">
      <c r="E935" s="2"/>
      <c r="F935" s="2"/>
    </row>
    <row r="936">
      <c r="E936" s="2"/>
      <c r="F936" s="2"/>
    </row>
    <row r="937">
      <c r="E937" s="2"/>
      <c r="F937" s="2"/>
    </row>
    <row r="938">
      <c r="E938" s="2"/>
      <c r="F938" s="2"/>
    </row>
    <row r="939">
      <c r="E939" s="2"/>
      <c r="F939" s="2"/>
    </row>
    <row r="940">
      <c r="E940" s="2"/>
      <c r="F940" s="2"/>
    </row>
    <row r="941">
      <c r="E941" s="2"/>
      <c r="F941" s="2"/>
    </row>
    <row r="942">
      <c r="E942" s="2"/>
      <c r="F942" s="2"/>
    </row>
    <row r="943">
      <c r="E943" s="2"/>
      <c r="F943" s="2"/>
    </row>
    <row r="944">
      <c r="E944" s="2"/>
      <c r="F944" s="2"/>
    </row>
    <row r="945">
      <c r="E945" s="2"/>
      <c r="F945" s="2"/>
    </row>
    <row r="946">
      <c r="E946" s="2"/>
      <c r="F946" s="2"/>
    </row>
    <row r="947">
      <c r="E947" s="2"/>
      <c r="F947" s="2"/>
    </row>
    <row r="948">
      <c r="E948" s="2"/>
      <c r="F948" s="2"/>
    </row>
    <row r="949">
      <c r="E949" s="2"/>
      <c r="F949" s="2"/>
    </row>
    <row r="950">
      <c r="E950" s="2"/>
      <c r="F950" s="2"/>
    </row>
    <row r="951">
      <c r="E951" s="2"/>
      <c r="F951" s="2"/>
    </row>
    <row r="952">
      <c r="E952" s="2"/>
      <c r="F952" s="2"/>
    </row>
    <row r="953">
      <c r="E953" s="2"/>
      <c r="F953" s="2"/>
    </row>
    <row r="954">
      <c r="E954" s="2"/>
      <c r="F954" s="2"/>
    </row>
    <row r="955">
      <c r="E955" s="2"/>
      <c r="F955" s="2"/>
    </row>
    <row r="956">
      <c r="E956" s="2"/>
      <c r="F956" s="2"/>
    </row>
    <row r="957">
      <c r="E957" s="2"/>
      <c r="F957" s="2"/>
    </row>
    <row r="958">
      <c r="E958" s="2"/>
      <c r="F958" s="2"/>
    </row>
    <row r="959">
      <c r="E959" s="2"/>
      <c r="F959" s="2"/>
    </row>
    <row r="960">
      <c r="E960" s="2"/>
      <c r="F960" s="2"/>
    </row>
    <row r="961">
      <c r="E961" s="2"/>
      <c r="F961" s="2"/>
    </row>
    <row r="962">
      <c r="E962" s="2"/>
      <c r="F962" s="2"/>
    </row>
    <row r="963">
      <c r="E963" s="2"/>
      <c r="F963" s="2"/>
    </row>
    <row r="964">
      <c r="E964" s="2"/>
      <c r="F964" s="2"/>
    </row>
    <row r="965">
      <c r="E965" s="2"/>
      <c r="F965" s="2"/>
    </row>
    <row r="966">
      <c r="E966" s="2"/>
      <c r="F966" s="2"/>
    </row>
    <row r="967">
      <c r="E967" s="2"/>
      <c r="F967" s="2"/>
    </row>
    <row r="968">
      <c r="E968" s="2"/>
      <c r="F968" s="2"/>
    </row>
    <row r="969">
      <c r="E969" s="2"/>
      <c r="F969" s="2"/>
    </row>
    <row r="970">
      <c r="E970" s="2"/>
      <c r="F970" s="2"/>
    </row>
    <row r="971">
      <c r="E971" s="2"/>
      <c r="F971" s="2"/>
    </row>
    <row r="972">
      <c r="E972" s="2"/>
      <c r="F972" s="2"/>
    </row>
    <row r="973">
      <c r="E973" s="2"/>
      <c r="F973" s="2"/>
    </row>
    <row r="974">
      <c r="E974" s="2"/>
      <c r="F974" s="2"/>
    </row>
    <row r="975">
      <c r="E975" s="2"/>
      <c r="F975" s="2"/>
    </row>
    <row r="976">
      <c r="E976" s="2"/>
      <c r="F976" s="2"/>
    </row>
    <row r="977">
      <c r="E977" s="2"/>
      <c r="F977" s="2"/>
    </row>
    <row r="978">
      <c r="E978" s="2"/>
      <c r="F978" s="2"/>
    </row>
    <row r="979">
      <c r="E979" s="2"/>
      <c r="F979" s="2"/>
    </row>
    <row r="980">
      <c r="E980" s="2"/>
      <c r="F980" s="2"/>
    </row>
    <row r="981">
      <c r="E981" s="2"/>
      <c r="F981" s="2"/>
    </row>
    <row r="982">
      <c r="E982" s="2"/>
      <c r="F982" s="2"/>
    </row>
    <row r="983">
      <c r="E983" s="2"/>
      <c r="F983" s="2"/>
    </row>
    <row r="984">
      <c r="E984" s="2"/>
      <c r="F984" s="2"/>
    </row>
    <row r="985">
      <c r="E985" s="2"/>
      <c r="F985" s="2"/>
    </row>
    <row r="986">
      <c r="E986" s="2"/>
      <c r="F986" s="2"/>
    </row>
    <row r="987">
      <c r="E987" s="2"/>
      <c r="F987" s="2"/>
    </row>
    <row r="988">
      <c r="E988" s="2"/>
      <c r="F988" s="2"/>
    </row>
    <row r="989">
      <c r="E989" s="2"/>
      <c r="F989" s="2"/>
    </row>
    <row r="990">
      <c r="E990" s="2"/>
      <c r="F990" s="2"/>
    </row>
    <row r="991">
      <c r="E991" s="2"/>
      <c r="F991" s="2"/>
    </row>
    <row r="992">
      <c r="E992" s="2"/>
      <c r="F992" s="2"/>
    </row>
    <row r="993">
      <c r="E993" s="2"/>
      <c r="F993" s="2"/>
    </row>
    <row r="994">
      <c r="E994" s="2"/>
      <c r="F994" s="2"/>
    </row>
    <row r="995">
      <c r="E995" s="2"/>
      <c r="F995" s="2"/>
    </row>
    <row r="996">
      <c r="E996" s="2"/>
      <c r="F996" s="2"/>
    </row>
    <row r="997">
      <c r="E997" s="2"/>
      <c r="F997" s="2"/>
    </row>
    <row r="998">
      <c r="E998" s="2"/>
      <c r="F998" s="2"/>
    </row>
    <row r="999">
      <c r="E999" s="2"/>
      <c r="F999" s="2"/>
    </row>
    <row r="1000">
      <c r="E1000" s="2"/>
      <c r="F1000" s="2"/>
    </row>
    <row r="1001">
      <c r="E1001" s="2"/>
      <c r="F1001" s="2"/>
    </row>
  </sheetData>
  <mergeCells count="1">
    <mergeCell ref="A1:D1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86.5"/>
    <col customWidth="1" min="3" max="3" width="21.63"/>
    <col customWidth="1" min="4" max="4" width="20.88"/>
    <col customWidth="1" min="5" max="5" width="18.38"/>
    <col customWidth="1" min="6" max="6" width="15.25"/>
  </cols>
  <sheetData>
    <row r="1">
      <c r="A1" s="70" t="s">
        <v>677</v>
      </c>
      <c r="E1" s="71"/>
    </row>
    <row r="2" ht="22.5" customHeight="1">
      <c r="A2" s="68" t="s">
        <v>570</v>
      </c>
      <c r="B2" s="68" t="s">
        <v>678</v>
      </c>
      <c r="C2" s="68" t="s">
        <v>679</v>
      </c>
      <c r="D2" s="68" t="s">
        <v>2</v>
      </c>
      <c r="E2" s="68" t="s">
        <v>461</v>
      </c>
      <c r="F2" s="72" t="s">
        <v>574</v>
      </c>
      <c r="K2" s="73" t="s">
        <v>680</v>
      </c>
    </row>
    <row r="3" ht="22.5" customHeight="1">
      <c r="A3" s="39" t="s">
        <v>468</v>
      </c>
      <c r="B3" s="22" t="s">
        <v>681</v>
      </c>
      <c r="C3" s="21" t="s">
        <v>682</v>
      </c>
      <c r="D3" s="21" t="s">
        <v>10</v>
      </c>
      <c r="E3" s="21" t="s">
        <v>471</v>
      </c>
      <c r="F3" s="65" t="s">
        <v>683</v>
      </c>
      <c r="K3" s="73" t="s">
        <v>684</v>
      </c>
    </row>
    <row r="4" ht="22.5" customHeight="1">
      <c r="A4" s="39" t="s">
        <v>477</v>
      </c>
      <c r="B4" s="22" t="s">
        <v>685</v>
      </c>
      <c r="C4" s="21" t="s">
        <v>682</v>
      </c>
      <c r="D4" s="21" t="s">
        <v>77</v>
      </c>
      <c r="E4" s="21" t="s">
        <v>465</v>
      </c>
      <c r="F4" s="65" t="s">
        <v>683</v>
      </c>
      <c r="K4" s="73" t="s">
        <v>686</v>
      </c>
    </row>
    <row r="5" ht="22.5" customHeight="1">
      <c r="A5" s="39" t="s">
        <v>480</v>
      </c>
      <c r="B5" s="22" t="s">
        <v>687</v>
      </c>
      <c r="C5" s="21" t="s">
        <v>682</v>
      </c>
      <c r="D5" s="21" t="s">
        <v>77</v>
      </c>
      <c r="E5" s="21" t="s">
        <v>465</v>
      </c>
      <c r="F5" s="65" t="s">
        <v>683</v>
      </c>
      <c r="K5" s="73" t="s">
        <v>688</v>
      </c>
    </row>
    <row r="6" ht="22.5" customHeight="1">
      <c r="A6" s="39" t="s">
        <v>483</v>
      </c>
      <c r="B6" s="22" t="s">
        <v>689</v>
      </c>
      <c r="C6" s="21" t="s">
        <v>682</v>
      </c>
      <c r="D6" s="21" t="s">
        <v>77</v>
      </c>
      <c r="E6" s="21" t="s">
        <v>465</v>
      </c>
      <c r="F6" s="65" t="s">
        <v>683</v>
      </c>
    </row>
    <row r="7" ht="22.5" customHeight="1">
      <c r="A7" s="39" t="s">
        <v>474</v>
      </c>
      <c r="B7" s="22" t="s">
        <v>690</v>
      </c>
      <c r="C7" s="21" t="s">
        <v>682</v>
      </c>
      <c r="D7" s="21" t="s">
        <v>77</v>
      </c>
      <c r="E7" s="21" t="s">
        <v>471</v>
      </c>
      <c r="F7" s="65" t="s">
        <v>683</v>
      </c>
    </row>
    <row r="8" ht="22.5" customHeight="1">
      <c r="A8" s="39" t="s">
        <v>487</v>
      </c>
      <c r="B8" s="22" t="s">
        <v>691</v>
      </c>
      <c r="C8" s="21" t="s">
        <v>682</v>
      </c>
      <c r="D8" s="21" t="s">
        <v>77</v>
      </c>
      <c r="E8" s="21" t="s">
        <v>471</v>
      </c>
      <c r="F8" s="65" t="s">
        <v>683</v>
      </c>
    </row>
    <row r="9" ht="22.5" customHeight="1">
      <c r="A9" s="39" t="s">
        <v>493</v>
      </c>
      <c r="B9" s="22" t="s">
        <v>692</v>
      </c>
      <c r="C9" s="21" t="s">
        <v>693</v>
      </c>
      <c r="D9" s="21" t="s">
        <v>77</v>
      </c>
      <c r="E9" s="21" t="s">
        <v>471</v>
      </c>
      <c r="F9" s="65" t="s">
        <v>683</v>
      </c>
    </row>
    <row r="10" ht="22.5" customHeight="1">
      <c r="A10" s="39" t="s">
        <v>490</v>
      </c>
      <c r="B10" s="22" t="s">
        <v>694</v>
      </c>
      <c r="C10" s="21" t="s">
        <v>693</v>
      </c>
      <c r="D10" s="21" t="s">
        <v>77</v>
      </c>
      <c r="E10" s="21" t="s">
        <v>465</v>
      </c>
      <c r="F10" s="65" t="s">
        <v>683</v>
      </c>
    </row>
    <row r="11" ht="22.5" customHeight="1">
      <c r="A11" s="39" t="s">
        <v>695</v>
      </c>
      <c r="B11" s="22" t="s">
        <v>696</v>
      </c>
      <c r="C11" s="21" t="s">
        <v>693</v>
      </c>
      <c r="D11" s="21" t="s">
        <v>153</v>
      </c>
      <c r="E11" s="21" t="s">
        <v>471</v>
      </c>
      <c r="F11" s="65" t="s">
        <v>683</v>
      </c>
    </row>
    <row r="12" ht="22.5" customHeight="1">
      <c r="A12" s="39" t="s">
        <v>697</v>
      </c>
      <c r="B12" s="22" t="s">
        <v>698</v>
      </c>
      <c r="C12" s="21" t="s">
        <v>693</v>
      </c>
      <c r="D12" s="21" t="s">
        <v>153</v>
      </c>
      <c r="E12" s="21" t="s">
        <v>471</v>
      </c>
      <c r="F12" s="65" t="s">
        <v>683</v>
      </c>
    </row>
    <row r="13" ht="22.5" customHeight="1">
      <c r="A13" s="39" t="s">
        <v>498</v>
      </c>
      <c r="B13" s="22" t="s">
        <v>699</v>
      </c>
      <c r="C13" s="21" t="s">
        <v>682</v>
      </c>
      <c r="D13" s="21" t="s">
        <v>153</v>
      </c>
      <c r="E13" s="21" t="s">
        <v>471</v>
      </c>
      <c r="F13" s="65" t="s">
        <v>683</v>
      </c>
    </row>
    <row r="14" ht="22.5" customHeight="1">
      <c r="A14" s="39" t="s">
        <v>510</v>
      </c>
      <c r="B14" s="22" t="s">
        <v>700</v>
      </c>
      <c r="C14" s="21" t="s">
        <v>693</v>
      </c>
      <c r="D14" s="21" t="s">
        <v>153</v>
      </c>
      <c r="E14" s="21" t="s">
        <v>465</v>
      </c>
      <c r="F14" s="65" t="s">
        <v>683</v>
      </c>
    </row>
    <row r="15" ht="22.5" customHeight="1">
      <c r="A15" s="39" t="s">
        <v>518</v>
      </c>
      <c r="B15" s="22" t="s">
        <v>701</v>
      </c>
      <c r="C15" s="21" t="s">
        <v>682</v>
      </c>
      <c r="D15" s="21" t="s">
        <v>239</v>
      </c>
      <c r="E15" s="21" t="s">
        <v>465</v>
      </c>
      <c r="F15" s="65" t="s">
        <v>683</v>
      </c>
    </row>
    <row r="16" ht="22.5" customHeight="1">
      <c r="A16" s="39" t="s">
        <v>702</v>
      </c>
      <c r="B16" s="74" t="s">
        <v>703</v>
      </c>
      <c r="C16" s="21" t="s">
        <v>693</v>
      </c>
      <c r="D16" s="21" t="s">
        <v>239</v>
      </c>
      <c r="E16" s="21" t="s">
        <v>465</v>
      </c>
      <c r="F16" s="65" t="s">
        <v>683</v>
      </c>
    </row>
    <row r="17" ht="22.5" customHeight="1">
      <c r="A17" s="39" t="s">
        <v>521</v>
      </c>
      <c r="B17" s="75" t="s">
        <v>704</v>
      </c>
      <c r="C17" s="76" t="s">
        <v>693</v>
      </c>
      <c r="D17" s="76" t="s">
        <v>239</v>
      </c>
      <c r="E17" s="76" t="s">
        <v>471</v>
      </c>
      <c r="F17" s="77" t="s">
        <v>683</v>
      </c>
    </row>
    <row r="18" ht="22.5" customHeight="1">
      <c r="A18" s="39" t="s">
        <v>526</v>
      </c>
      <c r="B18" s="22" t="s">
        <v>705</v>
      </c>
      <c r="C18" s="21" t="s">
        <v>682</v>
      </c>
      <c r="D18" s="21" t="s">
        <v>239</v>
      </c>
      <c r="E18" s="21" t="s">
        <v>465</v>
      </c>
      <c r="F18" s="65" t="s">
        <v>683</v>
      </c>
    </row>
    <row r="19" ht="22.5" customHeight="1">
      <c r="A19" s="39" t="s">
        <v>529</v>
      </c>
      <c r="B19" s="22" t="s">
        <v>706</v>
      </c>
      <c r="C19" s="21" t="s">
        <v>693</v>
      </c>
      <c r="D19" s="21" t="s">
        <v>239</v>
      </c>
      <c r="E19" s="21" t="s">
        <v>471</v>
      </c>
      <c r="F19" s="65" t="s">
        <v>683</v>
      </c>
    </row>
    <row r="20" ht="22.5" customHeight="1">
      <c r="A20" s="39" t="s">
        <v>538</v>
      </c>
      <c r="B20" s="39" t="s">
        <v>707</v>
      </c>
      <c r="C20" s="21" t="s">
        <v>462</v>
      </c>
      <c r="D20" s="65" t="s">
        <v>324</v>
      </c>
      <c r="E20" s="21" t="s">
        <v>486</v>
      </c>
      <c r="F20" s="65" t="s">
        <v>683</v>
      </c>
    </row>
    <row r="21" ht="22.5" customHeight="1">
      <c r="A21" s="39" t="s">
        <v>541</v>
      </c>
      <c r="B21" s="39" t="s">
        <v>708</v>
      </c>
      <c r="C21" s="21" t="s">
        <v>462</v>
      </c>
      <c r="D21" s="65" t="s">
        <v>324</v>
      </c>
      <c r="E21" s="21" t="s">
        <v>465</v>
      </c>
      <c r="F21" s="65" t="s">
        <v>683</v>
      </c>
    </row>
    <row r="22" ht="22.5" customHeight="1">
      <c r="A22" s="39" t="s">
        <v>544</v>
      </c>
      <c r="B22" s="39" t="s">
        <v>709</v>
      </c>
      <c r="C22" s="21" t="s">
        <v>462</v>
      </c>
      <c r="D22" s="65" t="s">
        <v>324</v>
      </c>
      <c r="E22" s="21" t="s">
        <v>471</v>
      </c>
      <c r="F22" s="65" t="s">
        <v>683</v>
      </c>
    </row>
    <row r="25">
      <c r="A25" s="44"/>
      <c r="B25" s="44"/>
      <c r="C25" s="44"/>
      <c r="D25" s="44"/>
      <c r="E25" s="44"/>
      <c r="F25" s="44"/>
    </row>
  </sheetData>
  <mergeCells count="1">
    <mergeCell ref="A1:D1"/>
  </mergeCells>
  <dataValidations>
    <dataValidation type="list" allowBlank="1" sqref="C3:C22">
      <formula1>"Alta,Media,Baja"</formula1>
    </dataValidation>
    <dataValidation type="list" allowBlank="1" sqref="E3:E22">
      <formula1>"Alexander,Matías,Ambos"</formula1>
    </dataValidation>
    <dataValidation type="list" allowBlank="1" sqref="D3:D22">
      <formula1>"Sprint Funcional 1,Sprint Funcional 2,Sprint Funcional 3,Sprint Funcional 4,Hardening Sprint 5"</formula1>
    </dataValidation>
    <dataValidation type="list" allowBlank="1" sqref="F3:F22">
      <formula1>"Desarrollado,Abierto,Terminado"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25"/>
    <col customWidth="1" min="4" max="4" width="26.5"/>
    <col customWidth="1" min="5" max="5" width="20.5"/>
    <col customWidth="1" min="6" max="6" width="29.38"/>
  </cols>
  <sheetData>
    <row r="1">
      <c r="A1" s="70" t="s">
        <v>710</v>
      </c>
    </row>
    <row r="2" ht="22.5" customHeight="1">
      <c r="A2" s="41" t="s">
        <v>570</v>
      </c>
      <c r="B2" s="41" t="s">
        <v>678</v>
      </c>
      <c r="C2" s="41" t="s">
        <v>711</v>
      </c>
      <c r="D2" s="41" t="s">
        <v>712</v>
      </c>
      <c r="E2" s="41" t="s">
        <v>713</v>
      </c>
      <c r="F2" s="38" t="s">
        <v>714</v>
      </c>
      <c r="L2" s="73" t="s">
        <v>715</v>
      </c>
    </row>
    <row r="3" ht="22.5" customHeight="1">
      <c r="A3" s="39" t="s">
        <v>468</v>
      </c>
      <c r="B3" s="22" t="s">
        <v>716</v>
      </c>
      <c r="C3" s="21" t="s">
        <v>682</v>
      </c>
      <c r="D3" s="54">
        <v>5.0</v>
      </c>
      <c r="E3" s="54">
        <v>1.0</v>
      </c>
      <c r="F3" s="78" t="s">
        <v>717</v>
      </c>
      <c r="L3" s="73" t="s">
        <v>718</v>
      </c>
    </row>
    <row r="4" ht="22.5" customHeight="1">
      <c r="A4" s="39" t="s">
        <v>477</v>
      </c>
      <c r="B4" s="22" t="s">
        <v>719</v>
      </c>
      <c r="C4" s="21" t="s">
        <v>682</v>
      </c>
      <c r="D4" s="54">
        <v>8.0</v>
      </c>
      <c r="E4" s="54">
        <v>2.0</v>
      </c>
      <c r="F4" s="78" t="s">
        <v>720</v>
      </c>
      <c r="L4" s="73" t="s">
        <v>721</v>
      </c>
    </row>
    <row r="5" ht="22.5" customHeight="1">
      <c r="A5" s="39" t="s">
        <v>474</v>
      </c>
      <c r="B5" s="22" t="s">
        <v>722</v>
      </c>
      <c r="C5" s="21" t="s">
        <v>682</v>
      </c>
      <c r="D5" s="54">
        <v>5.0</v>
      </c>
      <c r="E5" s="54">
        <v>2.0</v>
      </c>
      <c r="F5" s="78" t="s">
        <v>720</v>
      </c>
      <c r="L5" s="73" t="s">
        <v>723</v>
      </c>
    </row>
    <row r="6" ht="22.5" customHeight="1">
      <c r="A6" s="39" t="s">
        <v>490</v>
      </c>
      <c r="B6" s="22" t="s">
        <v>724</v>
      </c>
      <c r="C6" s="21" t="s">
        <v>682</v>
      </c>
      <c r="D6" s="54">
        <v>8.0</v>
      </c>
      <c r="E6" s="54">
        <v>2.0</v>
      </c>
      <c r="F6" s="78" t="s">
        <v>725</v>
      </c>
    </row>
    <row r="7" ht="22.5" customHeight="1">
      <c r="A7" s="39" t="s">
        <v>480</v>
      </c>
      <c r="B7" s="22" t="s">
        <v>726</v>
      </c>
      <c r="C7" s="21" t="s">
        <v>682</v>
      </c>
      <c r="D7" s="54">
        <v>5.0</v>
      </c>
      <c r="E7" s="54">
        <v>3.0</v>
      </c>
      <c r="F7" s="78" t="s">
        <v>592</v>
      </c>
    </row>
    <row r="8" ht="22.5" customHeight="1">
      <c r="A8" s="39" t="s">
        <v>483</v>
      </c>
      <c r="B8" s="22" t="s">
        <v>727</v>
      </c>
      <c r="C8" s="21" t="s">
        <v>682</v>
      </c>
      <c r="D8" s="54">
        <v>3.0</v>
      </c>
      <c r="E8" s="54">
        <v>3.0</v>
      </c>
      <c r="F8" s="78" t="s">
        <v>592</v>
      </c>
    </row>
    <row r="9" ht="22.5" customHeight="1">
      <c r="A9" s="39" t="s">
        <v>493</v>
      </c>
      <c r="B9" s="22" t="s">
        <v>728</v>
      </c>
      <c r="C9" s="21" t="s">
        <v>693</v>
      </c>
      <c r="D9" s="54">
        <v>2.0</v>
      </c>
      <c r="E9" s="54">
        <v>3.0</v>
      </c>
      <c r="F9" s="78" t="s">
        <v>729</v>
      </c>
    </row>
    <row r="10" ht="22.5" customHeight="1">
      <c r="A10" s="39" t="s">
        <v>487</v>
      </c>
      <c r="B10" s="22" t="s">
        <v>730</v>
      </c>
      <c r="C10" s="21" t="s">
        <v>682</v>
      </c>
      <c r="D10" s="54">
        <v>5.0</v>
      </c>
      <c r="E10" s="54">
        <v>3.0</v>
      </c>
      <c r="F10" s="78" t="s">
        <v>592</v>
      </c>
    </row>
    <row r="11" ht="22.5" customHeight="1">
      <c r="A11" s="39" t="s">
        <v>498</v>
      </c>
      <c r="B11" s="22" t="s">
        <v>731</v>
      </c>
      <c r="C11" s="21" t="s">
        <v>682</v>
      </c>
      <c r="D11" s="54">
        <v>5.0</v>
      </c>
      <c r="E11" s="54">
        <v>4.0</v>
      </c>
      <c r="F11" s="78" t="s">
        <v>732</v>
      </c>
      <c r="L11" s="79"/>
    </row>
    <row r="12" ht="22.5" customHeight="1">
      <c r="A12" s="39" t="s">
        <v>695</v>
      </c>
      <c r="B12" s="22" t="s">
        <v>733</v>
      </c>
      <c r="C12" s="21" t="s">
        <v>693</v>
      </c>
      <c r="D12" s="54">
        <v>3.0</v>
      </c>
      <c r="E12" s="54">
        <v>4.0</v>
      </c>
      <c r="F12" s="78" t="s">
        <v>734</v>
      </c>
    </row>
    <row r="13" ht="22.5" customHeight="1">
      <c r="A13" s="39" t="s">
        <v>697</v>
      </c>
      <c r="B13" s="22" t="s">
        <v>735</v>
      </c>
      <c r="C13" s="21" t="s">
        <v>693</v>
      </c>
      <c r="D13" s="54">
        <v>3.0</v>
      </c>
      <c r="E13" s="54">
        <v>5.0</v>
      </c>
      <c r="F13" s="78" t="s">
        <v>734</v>
      </c>
    </row>
    <row r="14" ht="22.5" customHeight="1">
      <c r="A14" s="39" t="s">
        <v>510</v>
      </c>
      <c r="B14" s="22" t="s">
        <v>736</v>
      </c>
      <c r="C14" s="21" t="s">
        <v>682</v>
      </c>
      <c r="D14" s="54">
        <v>8.0</v>
      </c>
      <c r="E14" s="54">
        <v>5.0</v>
      </c>
      <c r="F14" s="78" t="s">
        <v>737</v>
      </c>
    </row>
    <row r="15" ht="22.5" customHeight="1">
      <c r="A15" s="39" t="s">
        <v>518</v>
      </c>
      <c r="B15" s="22" t="s">
        <v>738</v>
      </c>
      <c r="C15" s="21" t="s">
        <v>682</v>
      </c>
      <c r="D15" s="54">
        <v>5.0</v>
      </c>
      <c r="E15" s="54">
        <v>6.0</v>
      </c>
      <c r="F15" s="78" t="s">
        <v>622</v>
      </c>
    </row>
    <row r="16" ht="22.5" customHeight="1">
      <c r="A16" s="39" t="s">
        <v>702</v>
      </c>
      <c r="B16" s="22" t="s">
        <v>739</v>
      </c>
      <c r="C16" s="21" t="s">
        <v>693</v>
      </c>
      <c r="D16" s="54">
        <v>6.0</v>
      </c>
      <c r="E16" s="54">
        <v>6.0</v>
      </c>
      <c r="F16" s="78" t="s">
        <v>622</v>
      </c>
    </row>
    <row r="17" ht="22.5" customHeight="1">
      <c r="A17" s="39" t="s">
        <v>521</v>
      </c>
      <c r="B17" s="22" t="s">
        <v>740</v>
      </c>
      <c r="C17" s="21" t="s">
        <v>693</v>
      </c>
      <c r="D17" s="54">
        <v>7.0</v>
      </c>
      <c r="E17" s="54">
        <v>7.0</v>
      </c>
      <c r="F17" s="78" t="s">
        <v>622</v>
      </c>
    </row>
    <row r="18" ht="22.5" customHeight="1">
      <c r="A18" s="39" t="s">
        <v>526</v>
      </c>
      <c r="B18" s="22" t="s">
        <v>741</v>
      </c>
      <c r="C18" s="21" t="s">
        <v>682</v>
      </c>
      <c r="D18" s="54">
        <v>5.0</v>
      </c>
      <c r="E18" s="54">
        <v>7.0</v>
      </c>
      <c r="F18" s="78" t="s">
        <v>622</v>
      </c>
    </row>
    <row r="19" ht="22.5" customHeight="1">
      <c r="A19" s="39" t="s">
        <v>529</v>
      </c>
      <c r="B19" s="22" t="s">
        <v>742</v>
      </c>
      <c r="C19" s="21" t="s">
        <v>693</v>
      </c>
      <c r="D19" s="54">
        <v>4.0</v>
      </c>
      <c r="E19" s="54">
        <v>8.0</v>
      </c>
      <c r="F19" s="78" t="s">
        <v>743</v>
      </c>
    </row>
    <row r="20" ht="22.5" customHeight="1">
      <c r="A20" s="80" t="s">
        <v>538</v>
      </c>
      <c r="B20" s="80" t="s">
        <v>744</v>
      </c>
      <c r="C20" s="81" t="s">
        <v>682</v>
      </c>
      <c r="D20" s="82">
        <v>7.0</v>
      </c>
      <c r="E20" s="82">
        <v>9.0</v>
      </c>
      <c r="F20" s="83" t="s">
        <v>745</v>
      </c>
    </row>
    <row r="21" ht="22.5" customHeight="1">
      <c r="A21" s="80" t="s">
        <v>541</v>
      </c>
      <c r="B21" s="80" t="s">
        <v>746</v>
      </c>
      <c r="C21" s="81" t="s">
        <v>682</v>
      </c>
      <c r="D21" s="82">
        <v>6.0</v>
      </c>
      <c r="E21" s="82">
        <v>9.0</v>
      </c>
      <c r="F21" s="83" t="s">
        <v>745</v>
      </c>
    </row>
    <row r="22" ht="22.5" customHeight="1">
      <c r="A22" s="80" t="s">
        <v>544</v>
      </c>
      <c r="B22" s="80" t="s">
        <v>747</v>
      </c>
      <c r="C22" s="81" t="s">
        <v>682</v>
      </c>
      <c r="D22" s="82">
        <v>4.0</v>
      </c>
      <c r="E22" s="82">
        <v>10.0</v>
      </c>
      <c r="F22" s="83" t="s">
        <v>748</v>
      </c>
    </row>
  </sheetData>
  <mergeCells count="1">
    <mergeCell ref="A1:D1"/>
  </mergeCells>
  <conditionalFormatting sqref="E3:E22">
    <cfRule type="colorScale" priority="1">
      <colorScale>
        <cfvo type="min"/>
        <cfvo type="max"/>
        <color rgb="FFFFFFFF"/>
        <color rgb="FF57BB8A"/>
      </colorScale>
    </cfRule>
  </conditionalFormatting>
  <conditionalFormatting sqref="D3:D22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howDropDown="1" showErrorMessage="1" sqref="C3:C22">
      <formula1>"Alta,Media"</formula1>
    </dataValidation>
    <dataValidation type="custom" allowBlank="1" showDropDown="1" sqref="D3:E22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4.88"/>
    <col customWidth="1" min="3" max="3" width="104.38"/>
    <col customWidth="1" min="4" max="4" width="20.0"/>
    <col customWidth="1" min="5" max="5" width="17.5"/>
    <col customWidth="1" min="6" max="6" width="19.25"/>
  </cols>
  <sheetData>
    <row r="1">
      <c r="A1" s="70" t="s">
        <v>749</v>
      </c>
      <c r="K1" s="73"/>
    </row>
    <row r="2" ht="22.5" customHeight="1">
      <c r="A2" s="84" t="s">
        <v>570</v>
      </c>
      <c r="B2" s="84" t="s">
        <v>678</v>
      </c>
      <c r="C2" s="84" t="s">
        <v>750</v>
      </c>
      <c r="D2" s="84" t="s">
        <v>751</v>
      </c>
      <c r="E2" s="84" t="s">
        <v>752</v>
      </c>
      <c r="F2" s="84" t="s">
        <v>574</v>
      </c>
      <c r="K2" s="73"/>
    </row>
    <row r="3" ht="22.5" customHeight="1">
      <c r="A3" s="39" t="s">
        <v>468</v>
      </c>
      <c r="B3" s="22" t="s">
        <v>469</v>
      </c>
      <c r="C3" s="22" t="s">
        <v>753</v>
      </c>
      <c r="D3" s="22">
        <v>5.0</v>
      </c>
      <c r="E3" s="39">
        <v>1.0</v>
      </c>
      <c r="F3" s="21" t="s">
        <v>754</v>
      </c>
      <c r="K3" s="73"/>
    </row>
    <row r="4" ht="22.5" customHeight="1">
      <c r="A4" s="39" t="s">
        <v>477</v>
      </c>
      <c r="B4" s="22" t="s">
        <v>755</v>
      </c>
      <c r="C4" s="22" t="s">
        <v>756</v>
      </c>
      <c r="D4" s="22">
        <v>8.0</v>
      </c>
      <c r="E4" s="39">
        <v>2.0</v>
      </c>
      <c r="F4" s="21" t="s">
        <v>754</v>
      </c>
    </row>
    <row r="5" ht="22.5" customHeight="1">
      <c r="A5" s="39" t="s">
        <v>474</v>
      </c>
      <c r="B5" s="22" t="s">
        <v>475</v>
      </c>
      <c r="C5" s="22" t="s">
        <v>757</v>
      </c>
      <c r="D5" s="22">
        <v>5.0</v>
      </c>
      <c r="E5" s="39">
        <v>2.0</v>
      </c>
      <c r="F5" s="21" t="s">
        <v>754</v>
      </c>
      <c r="K5" s="73"/>
    </row>
    <row r="6" ht="22.5" customHeight="1">
      <c r="A6" s="39" t="s">
        <v>490</v>
      </c>
      <c r="B6" s="22" t="s">
        <v>724</v>
      </c>
      <c r="C6" s="22" t="s">
        <v>758</v>
      </c>
      <c r="D6" s="22">
        <v>8.0</v>
      </c>
      <c r="E6" s="39">
        <v>2.0</v>
      </c>
      <c r="F6" s="21" t="s">
        <v>754</v>
      </c>
      <c r="K6" s="73"/>
    </row>
    <row r="7" ht="22.5" customHeight="1">
      <c r="A7" s="39" t="s">
        <v>480</v>
      </c>
      <c r="B7" s="22" t="s">
        <v>759</v>
      </c>
      <c r="C7" s="22" t="s">
        <v>760</v>
      </c>
      <c r="D7" s="22">
        <v>5.0</v>
      </c>
      <c r="E7" s="39">
        <v>3.0</v>
      </c>
      <c r="F7" s="21" t="s">
        <v>754</v>
      </c>
      <c r="K7" s="73"/>
    </row>
    <row r="8" ht="22.5" customHeight="1">
      <c r="A8" s="39" t="s">
        <v>483</v>
      </c>
      <c r="B8" s="22" t="s">
        <v>484</v>
      </c>
      <c r="C8" s="22" t="s">
        <v>761</v>
      </c>
      <c r="D8" s="22">
        <v>3.0</v>
      </c>
      <c r="E8" s="39">
        <v>3.0</v>
      </c>
      <c r="F8" s="21" t="s">
        <v>754</v>
      </c>
      <c r="K8" s="73"/>
    </row>
    <row r="9" ht="22.5" customHeight="1">
      <c r="A9" s="39" t="s">
        <v>493</v>
      </c>
      <c r="B9" s="22" t="s">
        <v>494</v>
      </c>
      <c r="C9" s="22" t="s">
        <v>762</v>
      </c>
      <c r="D9" s="22">
        <v>2.0</v>
      </c>
      <c r="E9" s="39">
        <v>3.0</v>
      </c>
      <c r="F9" s="21" t="s">
        <v>754</v>
      </c>
      <c r="K9" s="73"/>
    </row>
    <row r="10" ht="22.5" customHeight="1">
      <c r="A10" s="39" t="s">
        <v>487</v>
      </c>
      <c r="B10" s="22" t="s">
        <v>730</v>
      </c>
      <c r="C10" s="22" t="s">
        <v>763</v>
      </c>
      <c r="D10" s="22">
        <v>5.0</v>
      </c>
      <c r="E10" s="39">
        <v>3.0</v>
      </c>
      <c r="F10" s="21" t="s">
        <v>754</v>
      </c>
      <c r="K10" s="73"/>
    </row>
    <row r="11" ht="22.5" customHeight="1">
      <c r="A11" s="39" t="s">
        <v>498</v>
      </c>
      <c r="B11" s="22" t="s">
        <v>731</v>
      </c>
      <c r="C11" s="22" t="s">
        <v>764</v>
      </c>
      <c r="D11" s="22">
        <v>5.0</v>
      </c>
      <c r="E11" s="39">
        <v>4.0</v>
      </c>
      <c r="F11" s="21" t="s">
        <v>754</v>
      </c>
    </row>
    <row r="12" ht="22.5" customHeight="1">
      <c r="A12" s="39" t="s">
        <v>695</v>
      </c>
      <c r="B12" s="22" t="s">
        <v>765</v>
      </c>
      <c r="C12" s="22" t="s">
        <v>766</v>
      </c>
      <c r="D12" s="22">
        <v>3.0</v>
      </c>
      <c r="E12" s="39">
        <v>4.0</v>
      </c>
      <c r="F12" s="21" t="s">
        <v>754</v>
      </c>
    </row>
    <row r="13" ht="22.5" customHeight="1">
      <c r="A13" s="39" t="s">
        <v>697</v>
      </c>
      <c r="B13" s="22" t="s">
        <v>767</v>
      </c>
      <c r="C13" s="22" t="s">
        <v>768</v>
      </c>
      <c r="D13" s="22">
        <v>3.0</v>
      </c>
      <c r="E13" s="39">
        <v>5.0</v>
      </c>
      <c r="F13" s="21" t="s">
        <v>754</v>
      </c>
    </row>
    <row r="14" ht="22.5" customHeight="1">
      <c r="A14" s="39" t="s">
        <v>510</v>
      </c>
      <c r="B14" s="22" t="s">
        <v>769</v>
      </c>
      <c r="C14" s="22" t="s">
        <v>770</v>
      </c>
      <c r="D14" s="22">
        <v>8.0</v>
      </c>
      <c r="E14" s="39">
        <v>5.0</v>
      </c>
      <c r="F14" s="21" t="s">
        <v>754</v>
      </c>
    </row>
    <row r="15" ht="22.5" customHeight="1">
      <c r="A15" s="39" t="s">
        <v>518</v>
      </c>
      <c r="B15" s="22" t="s">
        <v>771</v>
      </c>
      <c r="C15" s="22" t="s">
        <v>772</v>
      </c>
      <c r="D15" s="22">
        <v>5.0</v>
      </c>
      <c r="E15" s="39">
        <v>6.0</v>
      </c>
      <c r="F15" s="21" t="s">
        <v>754</v>
      </c>
    </row>
    <row r="16" ht="22.5" customHeight="1">
      <c r="A16" s="39" t="s">
        <v>702</v>
      </c>
      <c r="B16" s="22" t="s">
        <v>773</v>
      </c>
      <c r="C16" s="22" t="s">
        <v>774</v>
      </c>
      <c r="D16" s="22">
        <v>6.0</v>
      </c>
      <c r="E16" s="39">
        <v>6.0</v>
      </c>
      <c r="F16" s="21" t="s">
        <v>754</v>
      </c>
    </row>
    <row r="17" ht="22.5" customHeight="1">
      <c r="A17" s="39" t="s">
        <v>521</v>
      </c>
      <c r="B17" s="22" t="s">
        <v>740</v>
      </c>
      <c r="C17" s="22" t="s">
        <v>775</v>
      </c>
      <c r="D17" s="85">
        <v>7.0</v>
      </c>
      <c r="E17" s="86">
        <v>7.0</v>
      </c>
      <c r="F17" s="76" t="s">
        <v>754</v>
      </c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22.5" customHeight="1">
      <c r="A18" s="39" t="s">
        <v>526</v>
      </c>
      <c r="B18" s="22" t="s">
        <v>776</v>
      </c>
      <c r="C18" s="22" t="s">
        <v>777</v>
      </c>
      <c r="D18" s="22">
        <v>5.0</v>
      </c>
      <c r="E18" s="39">
        <v>7.0</v>
      </c>
      <c r="F18" s="21" t="s">
        <v>754</v>
      </c>
    </row>
    <row r="19" ht="22.5" customHeight="1">
      <c r="A19" s="39" t="s">
        <v>529</v>
      </c>
      <c r="B19" s="22" t="s">
        <v>742</v>
      </c>
      <c r="C19" s="22" t="s">
        <v>778</v>
      </c>
      <c r="D19" s="22">
        <v>4.0</v>
      </c>
      <c r="E19" s="39">
        <v>8.0</v>
      </c>
      <c r="F19" s="21" t="s">
        <v>754</v>
      </c>
    </row>
    <row r="20" ht="22.5" customHeight="1">
      <c r="A20" s="39" t="s">
        <v>538</v>
      </c>
      <c r="B20" s="22" t="s">
        <v>539</v>
      </c>
      <c r="C20" s="22" t="s">
        <v>779</v>
      </c>
      <c r="D20" s="22">
        <v>7.0</v>
      </c>
      <c r="E20" s="39">
        <v>9.0</v>
      </c>
      <c r="F20" s="21" t="s">
        <v>754</v>
      </c>
    </row>
    <row r="21" ht="22.5" customHeight="1">
      <c r="A21" s="39" t="s">
        <v>541</v>
      </c>
      <c r="B21" s="22" t="s">
        <v>780</v>
      </c>
      <c r="C21" s="22" t="s">
        <v>781</v>
      </c>
      <c r="D21" s="22">
        <v>6.0</v>
      </c>
      <c r="E21" s="39">
        <v>9.0</v>
      </c>
      <c r="F21" s="21" t="s">
        <v>754</v>
      </c>
    </row>
    <row r="22" ht="22.5" customHeight="1">
      <c r="A22" s="39" t="s">
        <v>544</v>
      </c>
      <c r="B22" s="22" t="s">
        <v>782</v>
      </c>
      <c r="C22" s="22" t="s">
        <v>783</v>
      </c>
      <c r="D22" s="22">
        <v>4.0</v>
      </c>
      <c r="E22" s="39">
        <v>10.0</v>
      </c>
      <c r="F22" s="21" t="s">
        <v>754</v>
      </c>
    </row>
    <row r="26">
      <c r="A26" s="44"/>
      <c r="B26" s="44"/>
      <c r="C26" s="44"/>
      <c r="D26" s="44"/>
      <c r="E26" s="44"/>
      <c r="F26" s="44"/>
    </row>
  </sheetData>
  <mergeCells count="1">
    <mergeCell ref="A1:D1"/>
  </mergeCells>
  <conditionalFormatting sqref="E3:E22">
    <cfRule type="colorScale" priority="1">
      <colorScale>
        <cfvo type="formula" val="0"/>
        <cfvo type="max"/>
        <color rgb="FFFFFFFF"/>
        <color rgb="FF57BB8A"/>
      </colorScale>
    </cfRule>
  </conditionalFormatting>
  <conditionalFormatting sqref="D3:D22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qref="F3:F22">
      <formula1>"Listo para Sprint,Proceso,No iniciado"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32.5"/>
    <col customWidth="1" min="3" max="3" width="27.0"/>
    <col customWidth="1" min="4" max="4" width="48.38"/>
    <col customWidth="1" min="5" max="5" width="34.63"/>
    <col customWidth="1" min="6" max="6" width="19.13"/>
    <col customWidth="1" min="7" max="7" width="20.88"/>
  </cols>
  <sheetData>
    <row r="1">
      <c r="A1" s="1" t="s">
        <v>784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88" t="s">
        <v>2</v>
      </c>
      <c r="B2" s="4" t="s">
        <v>3</v>
      </c>
      <c r="C2" s="4" t="s">
        <v>785</v>
      </c>
      <c r="D2" s="4" t="s">
        <v>786</v>
      </c>
      <c r="E2" s="4" t="s">
        <v>787</v>
      </c>
      <c r="F2" s="89" t="s">
        <v>788</v>
      </c>
      <c r="G2" s="89" t="s">
        <v>789</v>
      </c>
      <c r="H2" s="2"/>
      <c r="I2" s="2"/>
      <c r="J2" s="7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2.5" customHeight="1">
      <c r="A3" s="90" t="s">
        <v>10</v>
      </c>
      <c r="B3" s="43" t="s">
        <v>790</v>
      </c>
      <c r="C3" s="69" t="s">
        <v>468</v>
      </c>
      <c r="D3" s="43" t="s">
        <v>791</v>
      </c>
      <c r="E3" s="43" t="s">
        <v>792</v>
      </c>
      <c r="F3" s="23">
        <v>45894.0</v>
      </c>
      <c r="G3" s="23">
        <v>45912.0</v>
      </c>
      <c r="H3" s="2"/>
      <c r="I3" s="2"/>
      <c r="J3" s="7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2.5" customHeight="1">
      <c r="A4" s="90" t="s">
        <v>77</v>
      </c>
      <c r="B4" s="43" t="s">
        <v>793</v>
      </c>
      <c r="C4" s="69" t="s">
        <v>794</v>
      </c>
      <c r="D4" s="43" t="s">
        <v>795</v>
      </c>
      <c r="E4" s="43" t="s">
        <v>796</v>
      </c>
      <c r="F4" s="23">
        <v>45915.0</v>
      </c>
      <c r="G4" s="23">
        <v>45933.0</v>
      </c>
      <c r="H4" s="2"/>
      <c r="I4" s="2"/>
      <c r="J4" s="7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2.5" customHeight="1">
      <c r="A5" s="90" t="s">
        <v>153</v>
      </c>
      <c r="B5" s="43" t="s">
        <v>797</v>
      </c>
      <c r="C5" s="69" t="s">
        <v>798</v>
      </c>
      <c r="D5" s="43" t="s">
        <v>799</v>
      </c>
      <c r="E5" s="43" t="s">
        <v>800</v>
      </c>
      <c r="F5" s="23">
        <v>45936.0</v>
      </c>
      <c r="G5" s="59">
        <v>45954.0</v>
      </c>
      <c r="H5" s="2"/>
      <c r="I5" s="2"/>
      <c r="J5" s="7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2.5" customHeight="1">
      <c r="A6" s="90" t="s">
        <v>239</v>
      </c>
      <c r="B6" s="43" t="s">
        <v>801</v>
      </c>
      <c r="C6" s="69" t="s">
        <v>802</v>
      </c>
      <c r="D6" s="43" t="s">
        <v>803</v>
      </c>
      <c r="E6" s="43" t="s">
        <v>804</v>
      </c>
      <c r="F6" s="59">
        <v>45957.0</v>
      </c>
      <c r="G6" s="59">
        <v>45975.0</v>
      </c>
      <c r="H6" s="2"/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90" t="s">
        <v>805</v>
      </c>
      <c r="B7" s="43" t="s">
        <v>806</v>
      </c>
      <c r="C7" s="69" t="s">
        <v>674</v>
      </c>
      <c r="D7" s="43" t="s">
        <v>807</v>
      </c>
      <c r="E7" s="43" t="s">
        <v>808</v>
      </c>
      <c r="F7" s="59">
        <v>45978.0</v>
      </c>
      <c r="G7" s="59">
        <v>45991.0</v>
      </c>
      <c r="H7" s="2"/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G8" s="91"/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4"/>
      <c r="B10" s="44"/>
      <c r="C10" s="44"/>
      <c r="D10" s="44"/>
      <c r="E10" s="44"/>
      <c r="F10" s="44"/>
      <c r="G10" s="4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">
    <mergeCell ref="A1:D1"/>
  </mergeCells>
  <dataValidations>
    <dataValidation type="list" allowBlank="1" sqref="A3:A7">
      <formula1>"Sprint Funcional 1,Sprint Funcional 2,Sprint Funcional 3,Sprint Funcional 4,Sprint Hardening 5"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  <col customWidth="1" min="3" max="3" width="15.25"/>
    <col customWidth="1" min="5" max="5" width="13.25"/>
    <col customWidth="1" min="6" max="6" width="23.38"/>
  </cols>
  <sheetData>
    <row r="1">
      <c r="A1" s="1" t="s">
        <v>809</v>
      </c>
    </row>
    <row r="2">
      <c r="A2" s="92"/>
    </row>
    <row r="3" ht="22.5" customHeight="1">
      <c r="A3" s="93" t="s">
        <v>570</v>
      </c>
      <c r="B3" s="93" t="s">
        <v>810</v>
      </c>
      <c r="C3" s="93" t="s">
        <v>461</v>
      </c>
      <c r="D3" s="93" t="s">
        <v>574</v>
      </c>
      <c r="E3" s="93" t="s">
        <v>811</v>
      </c>
      <c r="F3" s="93" t="s">
        <v>812</v>
      </c>
      <c r="H3" s="44"/>
      <c r="I3" s="44"/>
      <c r="J3" s="44"/>
      <c r="K3" s="44"/>
      <c r="L3" s="44"/>
      <c r="M3" s="44"/>
    </row>
    <row r="4" ht="22.5" customHeight="1">
      <c r="A4" s="94" t="s">
        <v>813</v>
      </c>
      <c r="B4" s="95" t="s">
        <v>814</v>
      </c>
      <c r="C4" s="96" t="s">
        <v>465</v>
      </c>
      <c r="D4" s="96" t="s">
        <v>815</v>
      </c>
      <c r="E4" s="97">
        <v>45905.0</v>
      </c>
      <c r="F4" s="98" t="s">
        <v>816</v>
      </c>
      <c r="H4" s="49"/>
      <c r="I4" s="44"/>
      <c r="J4" s="44"/>
      <c r="K4" s="44"/>
      <c r="L4" s="61"/>
    </row>
    <row r="5" ht="22.5" customHeight="1">
      <c r="A5" s="94" t="s">
        <v>817</v>
      </c>
      <c r="B5" s="95" t="s">
        <v>818</v>
      </c>
      <c r="C5" s="96" t="s">
        <v>471</v>
      </c>
      <c r="D5" s="96" t="s">
        <v>815</v>
      </c>
      <c r="E5" s="97">
        <v>45909.0</v>
      </c>
      <c r="F5" s="98" t="s">
        <v>819</v>
      </c>
      <c r="H5" s="49"/>
      <c r="I5" s="44"/>
      <c r="J5" s="44"/>
      <c r="K5" s="44"/>
      <c r="L5" s="61"/>
    </row>
    <row r="6" ht="22.5" customHeight="1">
      <c r="A6" s="94" t="s">
        <v>820</v>
      </c>
      <c r="B6" s="95" t="s">
        <v>821</v>
      </c>
      <c r="C6" s="96" t="s">
        <v>465</v>
      </c>
      <c r="D6" s="96" t="s">
        <v>815</v>
      </c>
      <c r="E6" s="97">
        <v>45910.0</v>
      </c>
      <c r="F6" s="98" t="s">
        <v>816</v>
      </c>
      <c r="H6" s="49"/>
      <c r="I6" s="44"/>
      <c r="J6" s="44"/>
      <c r="K6" s="44"/>
      <c r="L6" s="61"/>
    </row>
    <row r="7" ht="22.5" customHeight="1">
      <c r="A7" s="94" t="s">
        <v>822</v>
      </c>
      <c r="B7" s="95" t="s">
        <v>823</v>
      </c>
      <c r="C7" s="96" t="s">
        <v>465</v>
      </c>
      <c r="D7" s="96" t="s">
        <v>815</v>
      </c>
      <c r="E7" s="97">
        <v>45911.0</v>
      </c>
      <c r="F7" s="98" t="s">
        <v>824</v>
      </c>
      <c r="H7" s="49"/>
      <c r="I7" s="44"/>
      <c r="J7" s="44"/>
      <c r="K7" s="44"/>
      <c r="L7" s="61"/>
    </row>
    <row r="9" ht="22.5" customHeight="1">
      <c r="A9" s="93" t="s">
        <v>570</v>
      </c>
      <c r="B9" s="93" t="s">
        <v>810</v>
      </c>
      <c r="C9" s="93" t="s">
        <v>461</v>
      </c>
      <c r="D9" s="93" t="s">
        <v>574</v>
      </c>
      <c r="E9" s="93" t="s">
        <v>811</v>
      </c>
      <c r="F9" s="93" t="s">
        <v>812</v>
      </c>
      <c r="H9" s="44"/>
      <c r="I9" s="44"/>
      <c r="J9" s="44"/>
      <c r="K9" s="44"/>
      <c r="L9" s="44"/>
      <c r="M9" s="44"/>
    </row>
    <row r="10" ht="22.5" customHeight="1">
      <c r="A10" s="94" t="s">
        <v>825</v>
      </c>
      <c r="B10" s="95" t="s">
        <v>826</v>
      </c>
      <c r="C10" s="96" t="s">
        <v>471</v>
      </c>
      <c r="D10" s="96" t="s">
        <v>815</v>
      </c>
      <c r="E10" s="97">
        <v>45916.0</v>
      </c>
      <c r="F10" s="98" t="s">
        <v>827</v>
      </c>
      <c r="H10" s="49"/>
      <c r="I10" s="44"/>
      <c r="J10" s="44"/>
      <c r="K10" s="44"/>
      <c r="L10" s="61"/>
    </row>
    <row r="11" ht="22.5" customHeight="1">
      <c r="A11" s="94" t="s">
        <v>828</v>
      </c>
      <c r="B11" s="95" t="s">
        <v>829</v>
      </c>
      <c r="C11" s="96" t="s">
        <v>465</v>
      </c>
      <c r="D11" s="96" t="s">
        <v>815</v>
      </c>
      <c r="E11" s="97">
        <v>45918.0</v>
      </c>
      <c r="F11" s="98" t="s">
        <v>830</v>
      </c>
      <c r="H11" s="49"/>
      <c r="I11" s="44"/>
      <c r="J11" s="44"/>
      <c r="K11" s="44"/>
      <c r="L11" s="61"/>
    </row>
    <row r="12" ht="22.5" customHeight="1">
      <c r="A12" s="94" t="s">
        <v>831</v>
      </c>
      <c r="B12" s="95" t="s">
        <v>832</v>
      </c>
      <c r="C12" s="96" t="s">
        <v>465</v>
      </c>
      <c r="D12" s="96" t="s">
        <v>815</v>
      </c>
      <c r="E12" s="97">
        <v>45922.0</v>
      </c>
      <c r="F12" s="98" t="s">
        <v>830</v>
      </c>
      <c r="H12" s="49"/>
      <c r="I12" s="44"/>
      <c r="J12" s="44"/>
      <c r="K12" s="44"/>
      <c r="L12" s="61"/>
    </row>
    <row r="13" ht="22.5" customHeight="1">
      <c r="A13" s="94" t="s">
        <v>833</v>
      </c>
      <c r="B13" s="95" t="s">
        <v>107</v>
      </c>
      <c r="C13" s="96" t="s">
        <v>471</v>
      </c>
      <c r="D13" s="96" t="s">
        <v>815</v>
      </c>
      <c r="E13" s="97">
        <v>45923.0</v>
      </c>
      <c r="F13" s="98" t="s">
        <v>827</v>
      </c>
      <c r="H13" s="49"/>
      <c r="I13" s="44"/>
      <c r="J13" s="44"/>
      <c r="K13" s="44"/>
      <c r="L13" s="61"/>
    </row>
    <row r="14" ht="22.5" customHeight="1">
      <c r="A14" s="94" t="s">
        <v>834</v>
      </c>
      <c r="B14" s="95" t="s">
        <v>835</v>
      </c>
      <c r="C14" s="96" t="s">
        <v>465</v>
      </c>
      <c r="D14" s="96" t="s">
        <v>815</v>
      </c>
      <c r="E14" s="97">
        <v>45925.0</v>
      </c>
      <c r="F14" s="98" t="s">
        <v>830</v>
      </c>
      <c r="H14" s="49"/>
      <c r="I14" s="44"/>
      <c r="J14" s="44"/>
      <c r="K14" s="44"/>
      <c r="L14" s="61"/>
    </row>
    <row r="15" ht="22.5" customHeight="1">
      <c r="A15" s="94" t="s">
        <v>836</v>
      </c>
      <c r="B15" s="95" t="s">
        <v>837</v>
      </c>
      <c r="C15" s="96" t="s">
        <v>471</v>
      </c>
      <c r="D15" s="96" t="s">
        <v>815</v>
      </c>
      <c r="E15" s="97">
        <v>45926.0</v>
      </c>
      <c r="F15" s="98" t="s">
        <v>827</v>
      </c>
      <c r="H15" s="49"/>
      <c r="I15" s="44"/>
      <c r="J15" s="44"/>
      <c r="K15" s="44"/>
      <c r="L15" s="61"/>
    </row>
    <row r="16" ht="22.5" customHeight="1">
      <c r="A16" s="94" t="s">
        <v>838</v>
      </c>
      <c r="B16" s="95" t="s">
        <v>839</v>
      </c>
      <c r="C16" s="96" t="s">
        <v>465</v>
      </c>
      <c r="D16" s="96" t="s">
        <v>815</v>
      </c>
      <c r="E16" s="97">
        <v>45930.0</v>
      </c>
      <c r="F16" s="98" t="s">
        <v>840</v>
      </c>
      <c r="H16" s="49"/>
      <c r="I16" s="44"/>
      <c r="J16" s="44"/>
      <c r="K16" s="44"/>
      <c r="L16" s="61"/>
    </row>
    <row r="17" ht="22.5" customHeight="1">
      <c r="A17" s="94" t="s">
        <v>841</v>
      </c>
      <c r="B17" s="95" t="s">
        <v>842</v>
      </c>
      <c r="C17" s="96" t="s">
        <v>471</v>
      </c>
      <c r="D17" s="96" t="s">
        <v>815</v>
      </c>
      <c r="E17" s="97">
        <v>45930.0</v>
      </c>
      <c r="F17" s="98" t="s">
        <v>840</v>
      </c>
      <c r="H17" s="49"/>
      <c r="I17" s="44"/>
      <c r="J17" s="44"/>
      <c r="K17" s="44"/>
      <c r="L17" s="61"/>
    </row>
    <row r="19" ht="22.5" customHeight="1">
      <c r="A19" s="93" t="s">
        <v>570</v>
      </c>
      <c r="B19" s="93" t="s">
        <v>810</v>
      </c>
      <c r="C19" s="93" t="s">
        <v>461</v>
      </c>
      <c r="D19" s="93" t="s">
        <v>574</v>
      </c>
      <c r="E19" s="93" t="s">
        <v>811</v>
      </c>
      <c r="F19" s="93" t="s">
        <v>812</v>
      </c>
      <c r="H19" s="44"/>
      <c r="I19" s="44"/>
      <c r="J19" s="44"/>
      <c r="K19" s="44"/>
      <c r="L19" s="44"/>
      <c r="M19" s="44"/>
    </row>
    <row r="20" ht="22.5" customHeight="1">
      <c r="A20" s="94" t="s">
        <v>843</v>
      </c>
      <c r="B20" s="95" t="s">
        <v>844</v>
      </c>
      <c r="C20" s="96" t="s">
        <v>471</v>
      </c>
      <c r="D20" s="96" t="s">
        <v>815</v>
      </c>
      <c r="E20" s="99">
        <v>45937.0</v>
      </c>
      <c r="F20" s="98" t="s">
        <v>827</v>
      </c>
      <c r="H20" s="49"/>
      <c r="I20" s="44"/>
      <c r="J20" s="44"/>
      <c r="K20" s="44"/>
      <c r="L20" s="61"/>
    </row>
    <row r="21" ht="22.5" customHeight="1">
      <c r="A21" s="94" t="s">
        <v>845</v>
      </c>
      <c r="B21" s="95" t="s">
        <v>846</v>
      </c>
      <c r="C21" s="96" t="s">
        <v>465</v>
      </c>
      <c r="D21" s="96" t="s">
        <v>815</v>
      </c>
      <c r="E21" s="99">
        <v>45937.0</v>
      </c>
      <c r="F21" s="98" t="s">
        <v>830</v>
      </c>
      <c r="H21" s="49"/>
      <c r="I21" s="44"/>
      <c r="J21" s="44"/>
      <c r="K21" s="44"/>
      <c r="L21" s="61"/>
    </row>
    <row r="22" ht="22.5" customHeight="1">
      <c r="A22" s="94" t="s">
        <v>847</v>
      </c>
      <c r="B22" s="95" t="s">
        <v>848</v>
      </c>
      <c r="C22" s="96" t="s">
        <v>471</v>
      </c>
      <c r="D22" s="96" t="s">
        <v>815</v>
      </c>
      <c r="E22" s="99">
        <v>45938.0</v>
      </c>
      <c r="F22" s="98" t="s">
        <v>827</v>
      </c>
      <c r="H22" s="49"/>
      <c r="I22" s="44"/>
      <c r="J22" s="44"/>
      <c r="K22" s="44"/>
      <c r="L22" s="61"/>
    </row>
    <row r="23" ht="22.5" customHeight="1">
      <c r="A23" s="94" t="s">
        <v>849</v>
      </c>
      <c r="B23" s="95" t="s">
        <v>850</v>
      </c>
      <c r="C23" s="96" t="s">
        <v>471</v>
      </c>
      <c r="D23" s="96" t="s">
        <v>815</v>
      </c>
      <c r="E23" s="99">
        <v>45939.0</v>
      </c>
      <c r="F23" s="98" t="s">
        <v>827</v>
      </c>
      <c r="H23" s="49"/>
      <c r="I23" s="44"/>
      <c r="J23" s="44"/>
      <c r="K23" s="44"/>
      <c r="L23" s="61"/>
    </row>
    <row r="24" ht="22.5" customHeight="1">
      <c r="A24" s="94" t="s">
        <v>851</v>
      </c>
      <c r="B24" s="95" t="s">
        <v>852</v>
      </c>
      <c r="C24" s="96" t="s">
        <v>465</v>
      </c>
      <c r="D24" s="96" t="s">
        <v>815</v>
      </c>
      <c r="E24" s="100">
        <v>45944.0</v>
      </c>
      <c r="F24" s="98" t="s">
        <v>830</v>
      </c>
      <c r="H24" s="49"/>
      <c r="I24" s="49"/>
      <c r="J24" s="44"/>
      <c r="K24" s="44"/>
      <c r="L24" s="63"/>
    </row>
    <row r="25" ht="22.5" customHeight="1">
      <c r="A25" s="94" t="s">
        <v>853</v>
      </c>
      <c r="B25" s="95" t="s">
        <v>854</v>
      </c>
      <c r="C25" s="96" t="s">
        <v>465</v>
      </c>
      <c r="D25" s="96" t="s">
        <v>815</v>
      </c>
      <c r="E25" s="100">
        <v>45952.0</v>
      </c>
      <c r="F25" s="98" t="s">
        <v>824</v>
      </c>
      <c r="H25" s="49"/>
      <c r="I25" s="44"/>
      <c r="J25" s="44"/>
      <c r="K25" s="44"/>
      <c r="L25" s="63"/>
    </row>
    <row r="27" ht="22.5" customHeight="1">
      <c r="A27" s="93" t="s">
        <v>570</v>
      </c>
      <c r="B27" s="93" t="s">
        <v>810</v>
      </c>
      <c r="C27" s="93" t="s">
        <v>461</v>
      </c>
      <c r="D27" s="93" t="s">
        <v>574</v>
      </c>
      <c r="E27" s="93" t="s">
        <v>811</v>
      </c>
      <c r="F27" s="93" t="s">
        <v>812</v>
      </c>
      <c r="H27" s="44"/>
      <c r="I27" s="44"/>
      <c r="J27" s="44"/>
      <c r="K27" s="44"/>
      <c r="L27" s="44"/>
      <c r="M27" s="44"/>
    </row>
    <row r="28" ht="22.5" customHeight="1">
      <c r="A28" s="94" t="s">
        <v>855</v>
      </c>
      <c r="B28" s="95" t="s">
        <v>856</v>
      </c>
      <c r="C28" s="96" t="s">
        <v>465</v>
      </c>
      <c r="D28" s="96" t="s">
        <v>815</v>
      </c>
      <c r="E28" s="100">
        <v>45958.0</v>
      </c>
      <c r="F28" s="98" t="s">
        <v>830</v>
      </c>
      <c r="H28" s="49"/>
      <c r="I28" s="44"/>
      <c r="J28" s="44"/>
      <c r="K28" s="44"/>
      <c r="L28" s="63"/>
    </row>
    <row r="29" ht="22.5" customHeight="1">
      <c r="A29" s="94" t="s">
        <v>857</v>
      </c>
      <c r="B29" s="95" t="s">
        <v>858</v>
      </c>
      <c r="C29" s="96" t="s">
        <v>471</v>
      </c>
      <c r="D29" s="96" t="s">
        <v>815</v>
      </c>
      <c r="E29" s="100">
        <v>45960.0</v>
      </c>
      <c r="F29" s="98" t="s">
        <v>827</v>
      </c>
      <c r="H29" s="49"/>
      <c r="I29" s="44"/>
      <c r="J29" s="44"/>
      <c r="K29" s="44"/>
      <c r="L29" s="63"/>
    </row>
    <row r="30" ht="22.5" customHeight="1">
      <c r="A30" s="94" t="s">
        <v>859</v>
      </c>
      <c r="B30" s="95" t="s">
        <v>860</v>
      </c>
      <c r="C30" s="96" t="s">
        <v>465</v>
      </c>
      <c r="D30" s="96" t="s">
        <v>815</v>
      </c>
      <c r="E30" s="99">
        <v>45965.0</v>
      </c>
      <c r="F30" s="98" t="s">
        <v>830</v>
      </c>
      <c r="H30" s="49"/>
      <c r="I30" s="44"/>
      <c r="J30" s="44"/>
      <c r="K30" s="44"/>
      <c r="L30" s="61"/>
    </row>
    <row r="31" ht="22.5" customHeight="1">
      <c r="A31" s="94" t="s">
        <v>861</v>
      </c>
      <c r="B31" s="95" t="s">
        <v>293</v>
      </c>
      <c r="C31" s="96" t="s">
        <v>465</v>
      </c>
      <c r="D31" s="96" t="s">
        <v>815</v>
      </c>
      <c r="E31" s="99">
        <v>45968.0</v>
      </c>
      <c r="F31" s="98" t="s">
        <v>830</v>
      </c>
      <c r="H31" s="49"/>
      <c r="I31" s="44"/>
      <c r="J31" s="44"/>
      <c r="K31" s="44"/>
      <c r="L31" s="61"/>
    </row>
    <row r="32" ht="22.5" customHeight="1">
      <c r="A32" s="94" t="s">
        <v>862</v>
      </c>
      <c r="B32" s="95" t="s">
        <v>863</v>
      </c>
      <c r="C32" s="96" t="s">
        <v>471</v>
      </c>
      <c r="D32" s="96" t="s">
        <v>815</v>
      </c>
      <c r="E32" s="99">
        <v>45969.0</v>
      </c>
      <c r="F32" s="98" t="s">
        <v>827</v>
      </c>
      <c r="H32" s="49"/>
      <c r="I32" s="44"/>
      <c r="J32" s="44"/>
      <c r="K32" s="44"/>
      <c r="L32" s="61"/>
    </row>
    <row r="33" ht="22.5" customHeight="1">
      <c r="A33" s="94" t="s">
        <v>864</v>
      </c>
      <c r="B33" s="95" t="s">
        <v>865</v>
      </c>
      <c r="C33" s="96" t="s">
        <v>465</v>
      </c>
      <c r="D33" s="96" t="s">
        <v>815</v>
      </c>
      <c r="E33" s="100">
        <v>45973.0</v>
      </c>
      <c r="F33" s="98" t="s">
        <v>824</v>
      </c>
      <c r="H33" s="49"/>
      <c r="I33" s="44"/>
      <c r="J33" s="44"/>
      <c r="K33" s="44"/>
      <c r="L33" s="63"/>
    </row>
    <row r="34" ht="22.5" customHeight="1">
      <c r="A34" s="94" t="s">
        <v>866</v>
      </c>
      <c r="B34" s="95" t="s">
        <v>867</v>
      </c>
      <c r="C34" s="96" t="s">
        <v>471</v>
      </c>
      <c r="D34" s="96" t="s">
        <v>815</v>
      </c>
      <c r="E34" s="100">
        <v>45974.0</v>
      </c>
      <c r="F34" s="95" t="s">
        <v>868</v>
      </c>
      <c r="H34" s="49"/>
      <c r="I34" s="44"/>
      <c r="J34" s="44"/>
      <c r="K34" s="44"/>
      <c r="L34" s="63"/>
    </row>
    <row r="36" ht="22.5" customHeight="1">
      <c r="A36" s="93" t="s">
        <v>570</v>
      </c>
      <c r="B36" s="93" t="s">
        <v>810</v>
      </c>
      <c r="C36" s="93" t="s">
        <v>461</v>
      </c>
      <c r="D36" s="93" t="s">
        <v>574</v>
      </c>
      <c r="E36" s="93" t="s">
        <v>869</v>
      </c>
      <c r="F36" s="93" t="s">
        <v>812</v>
      </c>
      <c r="H36" s="44"/>
      <c r="I36" s="44"/>
      <c r="J36" s="44"/>
      <c r="K36" s="44"/>
      <c r="L36" s="44"/>
      <c r="M36" s="44"/>
    </row>
    <row r="37" ht="22.5" customHeight="1">
      <c r="A37" s="94" t="s">
        <v>870</v>
      </c>
      <c r="B37" s="95" t="s">
        <v>871</v>
      </c>
      <c r="C37" s="96" t="s">
        <v>486</v>
      </c>
      <c r="D37" s="96" t="s">
        <v>815</v>
      </c>
      <c r="E37" s="100">
        <v>45980.0</v>
      </c>
      <c r="F37" s="98" t="s">
        <v>824</v>
      </c>
      <c r="H37" s="49"/>
      <c r="I37" s="49"/>
      <c r="J37" s="44"/>
      <c r="K37" s="44"/>
      <c r="L37" s="63"/>
    </row>
    <row r="38" ht="22.5" customHeight="1">
      <c r="A38" s="94" t="s">
        <v>872</v>
      </c>
      <c r="B38" s="95" t="s">
        <v>873</v>
      </c>
      <c r="C38" s="96" t="s">
        <v>465</v>
      </c>
      <c r="D38" s="96" t="s">
        <v>815</v>
      </c>
      <c r="E38" s="100">
        <v>45981.0</v>
      </c>
      <c r="F38" s="98" t="s">
        <v>874</v>
      </c>
      <c r="H38" s="49"/>
      <c r="I38" s="44"/>
      <c r="J38" s="44"/>
      <c r="K38" s="44"/>
      <c r="L38" s="63"/>
    </row>
    <row r="39" ht="22.5" customHeight="1">
      <c r="A39" s="94" t="s">
        <v>875</v>
      </c>
      <c r="B39" s="95" t="s">
        <v>876</v>
      </c>
      <c r="C39" s="96" t="s">
        <v>471</v>
      </c>
      <c r="D39" s="96" t="s">
        <v>815</v>
      </c>
      <c r="E39" s="100">
        <v>45982.0</v>
      </c>
      <c r="F39" s="98" t="s">
        <v>877</v>
      </c>
      <c r="H39" s="49"/>
      <c r="I39" s="44"/>
      <c r="J39" s="44"/>
      <c r="K39" s="44"/>
      <c r="L39" s="63"/>
    </row>
    <row r="40" ht="22.5" customHeight="1">
      <c r="A40" s="94" t="s">
        <v>878</v>
      </c>
      <c r="B40" s="95" t="s">
        <v>879</v>
      </c>
      <c r="C40" s="96" t="s">
        <v>465</v>
      </c>
      <c r="D40" s="96" t="s">
        <v>815</v>
      </c>
      <c r="E40" s="100">
        <v>45987.0</v>
      </c>
      <c r="F40" s="95" t="s">
        <v>868</v>
      </c>
      <c r="H40" s="49"/>
      <c r="I40" s="44"/>
      <c r="J40" s="44"/>
      <c r="K40" s="44"/>
      <c r="L40" s="63"/>
    </row>
    <row r="41" ht="22.5" customHeight="1">
      <c r="A41" s="94" t="s">
        <v>880</v>
      </c>
      <c r="B41" s="95" t="s">
        <v>881</v>
      </c>
      <c r="C41" s="96" t="s">
        <v>471</v>
      </c>
      <c r="D41" s="96" t="s">
        <v>815</v>
      </c>
      <c r="E41" s="100">
        <v>45988.0</v>
      </c>
      <c r="F41" s="98" t="s">
        <v>882</v>
      </c>
      <c r="H41" s="49"/>
      <c r="I41" s="49"/>
      <c r="J41" s="44"/>
      <c r="K41" s="44"/>
      <c r="L41" s="63"/>
    </row>
    <row r="42" ht="22.5" customHeight="1">
      <c r="A42" s="94" t="s">
        <v>883</v>
      </c>
      <c r="B42" s="95" t="s">
        <v>884</v>
      </c>
      <c r="C42" s="96" t="s">
        <v>486</v>
      </c>
      <c r="D42" s="96" t="s">
        <v>815</v>
      </c>
      <c r="E42" s="100">
        <v>45991.0</v>
      </c>
      <c r="F42" s="95" t="s">
        <v>868</v>
      </c>
      <c r="H42" s="49"/>
      <c r="I42" s="44"/>
      <c r="J42" s="44"/>
      <c r="K42" s="44"/>
      <c r="L42" s="63"/>
    </row>
  </sheetData>
  <mergeCells count="2">
    <mergeCell ref="A1:F1"/>
    <mergeCell ref="A2:F2"/>
  </mergeCells>
  <dataValidations>
    <dataValidation type="list" allowBlank="1" sqref="D10:D17 D20:D25 D28:D34 D37:D42">
      <formula1>"Completado,Pendiente"</formula1>
    </dataValidation>
    <dataValidation type="list" allowBlank="1" sqref="C37:C42">
      <formula1>"Ambos,Matías,Alexander"</formula1>
    </dataValidation>
    <dataValidation type="list" allowBlank="1" sqref="C4:C7 C28:C34">
      <formula1>"Matías,Alexander"</formula1>
    </dataValidation>
    <dataValidation type="list" allowBlank="1" sqref="D4:D7">
      <formula1>"Completado,Pendiente"</formula1>
    </dataValidation>
    <dataValidation type="custom" allowBlank="1" showDropDown="1" sqref="E4:E7 E10:E17">
      <formula1>OR(NOT(ISERROR(DATEVALUE(E4))), AND(ISNUMBER(E4), LEFT(CELL("format", E4))="D"))</formula1>
    </dataValidation>
    <dataValidation type="list" allowBlank="1" sqref="C10:C17 C20:C25">
      <formula1>"Alexander,Matías"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9.5"/>
    <col customWidth="1" min="3" max="3" width="18.38"/>
    <col customWidth="1" min="4" max="4" width="15.0"/>
    <col customWidth="1" min="5" max="5" width="20.5"/>
    <col customWidth="1" min="6" max="6" width="15.88"/>
  </cols>
  <sheetData>
    <row r="1">
      <c r="A1" s="101" t="s">
        <v>885</v>
      </c>
    </row>
    <row r="2">
      <c r="A2" s="79"/>
    </row>
    <row r="3" ht="22.5" customHeight="1">
      <c r="A3" s="102" t="s">
        <v>886</v>
      </c>
      <c r="B3" s="103" t="s">
        <v>810</v>
      </c>
      <c r="C3" s="103" t="s">
        <v>461</v>
      </c>
      <c r="D3" s="103" t="s">
        <v>574</v>
      </c>
      <c r="E3" s="103" t="s">
        <v>887</v>
      </c>
      <c r="F3" s="104" t="s">
        <v>812</v>
      </c>
      <c r="K3" s="73" t="s">
        <v>888</v>
      </c>
    </row>
    <row r="4" ht="22.5" customHeight="1">
      <c r="A4" s="105" t="s">
        <v>813</v>
      </c>
      <c r="B4" s="106" t="s">
        <v>889</v>
      </c>
      <c r="C4" s="107" t="s">
        <v>465</v>
      </c>
      <c r="D4" s="107" t="s">
        <v>815</v>
      </c>
      <c r="E4" s="108">
        <v>45905.0</v>
      </c>
      <c r="F4" s="109" t="s">
        <v>890</v>
      </c>
      <c r="K4" s="73" t="s">
        <v>891</v>
      </c>
    </row>
    <row r="5" ht="22.5" customHeight="1">
      <c r="A5" s="105" t="s">
        <v>817</v>
      </c>
      <c r="B5" s="106" t="s">
        <v>892</v>
      </c>
      <c r="C5" s="107" t="s">
        <v>471</v>
      </c>
      <c r="D5" s="107" t="s">
        <v>815</v>
      </c>
      <c r="E5" s="108">
        <v>45909.0</v>
      </c>
      <c r="F5" s="109" t="s">
        <v>890</v>
      </c>
      <c r="K5" s="73" t="s">
        <v>893</v>
      </c>
    </row>
    <row r="6" ht="22.5" customHeight="1">
      <c r="A6" s="105" t="s">
        <v>820</v>
      </c>
      <c r="B6" s="106" t="s">
        <v>894</v>
      </c>
      <c r="C6" s="107" t="s">
        <v>465</v>
      </c>
      <c r="D6" s="107" t="s">
        <v>815</v>
      </c>
      <c r="E6" s="108">
        <v>45910.0</v>
      </c>
      <c r="F6" s="109" t="s">
        <v>890</v>
      </c>
      <c r="K6" s="73" t="s">
        <v>895</v>
      </c>
    </row>
    <row r="7" ht="22.5" customHeight="1">
      <c r="A7" s="105" t="s">
        <v>822</v>
      </c>
      <c r="B7" s="106" t="s">
        <v>896</v>
      </c>
      <c r="C7" s="107" t="s">
        <v>465</v>
      </c>
      <c r="D7" s="107" t="s">
        <v>815</v>
      </c>
      <c r="E7" s="108">
        <v>45910.0</v>
      </c>
      <c r="F7" s="109" t="s">
        <v>890</v>
      </c>
      <c r="K7" s="73" t="s">
        <v>897</v>
      </c>
    </row>
    <row r="8" ht="22.5" customHeight="1">
      <c r="A8" s="105" t="s">
        <v>825</v>
      </c>
      <c r="B8" s="106" t="s">
        <v>82</v>
      </c>
      <c r="C8" s="107" t="s">
        <v>471</v>
      </c>
      <c r="D8" s="107" t="s">
        <v>815</v>
      </c>
      <c r="E8" s="108">
        <v>45911.0</v>
      </c>
      <c r="F8" s="109" t="s">
        <v>890</v>
      </c>
    </row>
    <row r="9" ht="22.5" customHeight="1">
      <c r="A9" s="105" t="s">
        <v>828</v>
      </c>
      <c r="B9" s="106" t="s">
        <v>92</v>
      </c>
      <c r="C9" s="107" t="s">
        <v>465</v>
      </c>
      <c r="D9" s="107" t="s">
        <v>815</v>
      </c>
      <c r="E9" s="108">
        <v>45912.0</v>
      </c>
      <c r="F9" s="109" t="s">
        <v>890</v>
      </c>
    </row>
    <row r="10">
      <c r="A10" s="79"/>
    </row>
    <row r="11">
      <c r="A11" s="79"/>
    </row>
    <row r="12" ht="22.5" customHeight="1">
      <c r="A12" s="102" t="s">
        <v>886</v>
      </c>
      <c r="B12" s="103" t="s">
        <v>810</v>
      </c>
      <c r="C12" s="103" t="s">
        <v>461</v>
      </c>
      <c r="D12" s="103" t="s">
        <v>574</v>
      </c>
      <c r="E12" s="103" t="s">
        <v>887</v>
      </c>
      <c r="F12" s="104" t="s">
        <v>812</v>
      </c>
    </row>
    <row r="13" ht="22.5" customHeight="1">
      <c r="A13" s="105" t="s">
        <v>898</v>
      </c>
      <c r="B13" s="106" t="s">
        <v>82</v>
      </c>
      <c r="C13" s="107" t="s">
        <v>471</v>
      </c>
      <c r="D13" s="107" t="s">
        <v>899</v>
      </c>
      <c r="E13" s="108">
        <v>45915.0</v>
      </c>
      <c r="F13" s="109" t="s">
        <v>890</v>
      </c>
    </row>
    <row r="14" ht="22.5" customHeight="1">
      <c r="A14" s="105" t="s">
        <v>900</v>
      </c>
      <c r="B14" s="106" t="s">
        <v>92</v>
      </c>
      <c r="C14" s="107" t="s">
        <v>471</v>
      </c>
      <c r="D14" s="107" t="s">
        <v>899</v>
      </c>
      <c r="E14" s="108">
        <v>45916.0</v>
      </c>
      <c r="F14" s="109" t="s">
        <v>890</v>
      </c>
    </row>
    <row r="15" ht="22.5" customHeight="1">
      <c r="A15" s="105" t="s">
        <v>831</v>
      </c>
      <c r="B15" s="106" t="s">
        <v>901</v>
      </c>
      <c r="C15" s="107" t="s">
        <v>465</v>
      </c>
      <c r="D15" s="107" t="s">
        <v>899</v>
      </c>
      <c r="E15" s="108">
        <v>45917.0</v>
      </c>
      <c r="F15" s="109" t="s">
        <v>890</v>
      </c>
    </row>
    <row r="16" ht="22.5" customHeight="1">
      <c r="A16" s="105" t="s">
        <v>833</v>
      </c>
      <c r="B16" s="106" t="s">
        <v>107</v>
      </c>
      <c r="C16" s="107" t="s">
        <v>471</v>
      </c>
      <c r="D16" s="107" t="s">
        <v>899</v>
      </c>
      <c r="E16" s="108">
        <v>45919.0</v>
      </c>
      <c r="F16" s="109" t="s">
        <v>890</v>
      </c>
    </row>
    <row r="17" ht="22.5" customHeight="1">
      <c r="A17" s="105" t="s">
        <v>834</v>
      </c>
      <c r="B17" s="106" t="s">
        <v>117</v>
      </c>
      <c r="C17" s="107" t="s">
        <v>465</v>
      </c>
      <c r="D17" s="107" t="s">
        <v>899</v>
      </c>
      <c r="E17" s="108">
        <v>45923.0</v>
      </c>
      <c r="F17" s="109" t="s">
        <v>890</v>
      </c>
    </row>
    <row r="18" ht="22.5" customHeight="1">
      <c r="A18" s="105" t="s">
        <v>836</v>
      </c>
      <c r="B18" s="106" t="s">
        <v>122</v>
      </c>
      <c r="C18" s="107" t="s">
        <v>471</v>
      </c>
      <c r="D18" s="107" t="s">
        <v>899</v>
      </c>
      <c r="E18" s="108">
        <v>45925.0</v>
      </c>
      <c r="F18" s="109" t="s">
        <v>890</v>
      </c>
    </row>
    <row r="19" ht="22.5" customHeight="1">
      <c r="A19" s="105" t="s">
        <v>838</v>
      </c>
      <c r="B19" s="106" t="s">
        <v>902</v>
      </c>
      <c r="C19" s="109" t="s">
        <v>465</v>
      </c>
      <c r="D19" s="107" t="s">
        <v>899</v>
      </c>
      <c r="E19" s="108">
        <v>45927.0</v>
      </c>
      <c r="F19" s="109" t="s">
        <v>890</v>
      </c>
    </row>
    <row r="21">
      <c r="A21" s="79"/>
    </row>
    <row r="22" ht="22.5" customHeight="1">
      <c r="A22" s="102" t="s">
        <v>886</v>
      </c>
      <c r="B22" s="103" t="s">
        <v>810</v>
      </c>
      <c r="C22" s="103" t="s">
        <v>461</v>
      </c>
      <c r="D22" s="103" t="s">
        <v>574</v>
      </c>
      <c r="E22" s="103" t="s">
        <v>887</v>
      </c>
      <c r="F22" s="104" t="s">
        <v>812</v>
      </c>
    </row>
    <row r="23" ht="22.5" customHeight="1">
      <c r="A23" s="105" t="s">
        <v>841</v>
      </c>
      <c r="B23" s="106" t="s">
        <v>903</v>
      </c>
      <c r="C23" s="107" t="s">
        <v>471</v>
      </c>
      <c r="D23" s="107" t="s">
        <v>899</v>
      </c>
      <c r="E23" s="108">
        <v>45915.0</v>
      </c>
      <c r="F23" s="109" t="s">
        <v>15</v>
      </c>
    </row>
    <row r="24" ht="22.5" customHeight="1">
      <c r="A24" s="105" t="s">
        <v>843</v>
      </c>
      <c r="B24" s="106" t="s">
        <v>904</v>
      </c>
      <c r="C24" s="107" t="s">
        <v>471</v>
      </c>
      <c r="D24" s="107" t="s">
        <v>899</v>
      </c>
      <c r="E24" s="108">
        <v>45916.0</v>
      </c>
      <c r="F24" s="109" t="s">
        <v>15</v>
      </c>
    </row>
    <row r="25" ht="22.5" customHeight="1">
      <c r="A25" s="105" t="s">
        <v>845</v>
      </c>
      <c r="B25" s="106" t="s">
        <v>905</v>
      </c>
      <c r="C25" s="107" t="s">
        <v>465</v>
      </c>
      <c r="D25" s="107" t="s">
        <v>899</v>
      </c>
      <c r="E25" s="108">
        <v>45917.0</v>
      </c>
      <c r="F25" s="109" t="s">
        <v>15</v>
      </c>
    </row>
    <row r="26" ht="22.5" customHeight="1">
      <c r="A26" s="105" t="s">
        <v>847</v>
      </c>
      <c r="B26" s="106" t="s">
        <v>906</v>
      </c>
      <c r="C26" s="107" t="s">
        <v>471</v>
      </c>
      <c r="D26" s="107" t="s">
        <v>899</v>
      </c>
      <c r="E26" s="108">
        <v>45919.0</v>
      </c>
      <c r="F26" s="109" t="s">
        <v>15</v>
      </c>
    </row>
    <row r="27" ht="22.5" customHeight="1">
      <c r="A27" s="105" t="s">
        <v>849</v>
      </c>
      <c r="B27" s="106" t="s">
        <v>907</v>
      </c>
      <c r="C27" s="107" t="s">
        <v>465</v>
      </c>
      <c r="D27" s="107" t="s">
        <v>899</v>
      </c>
      <c r="E27" s="108">
        <v>45923.0</v>
      </c>
      <c r="F27" s="109" t="s">
        <v>15</v>
      </c>
    </row>
    <row r="28" ht="22.5" customHeight="1">
      <c r="A28" s="105" t="s">
        <v>851</v>
      </c>
      <c r="B28" s="106" t="s">
        <v>908</v>
      </c>
      <c r="C28" s="107" t="s">
        <v>471</v>
      </c>
      <c r="D28" s="107" t="s">
        <v>899</v>
      </c>
      <c r="E28" s="108">
        <v>45925.0</v>
      </c>
      <c r="F28" s="109" t="s">
        <v>15</v>
      </c>
    </row>
    <row r="29" ht="22.5" customHeight="1">
      <c r="A29" s="105" t="s">
        <v>853</v>
      </c>
      <c r="B29" s="106" t="s">
        <v>909</v>
      </c>
      <c r="C29" s="109" t="s">
        <v>465</v>
      </c>
      <c r="D29" s="107" t="s">
        <v>899</v>
      </c>
      <c r="E29" s="108">
        <v>45927.0</v>
      </c>
      <c r="F29" s="109" t="s">
        <v>15</v>
      </c>
    </row>
    <row r="32">
      <c r="A32" s="110"/>
      <c r="B32" s="110"/>
      <c r="C32" s="110"/>
      <c r="D32" s="110"/>
      <c r="E32" s="110"/>
      <c r="F32" s="110"/>
    </row>
    <row r="33" ht="22.5" customHeight="1">
      <c r="A33" s="104" t="s">
        <v>886</v>
      </c>
      <c r="B33" s="104" t="s">
        <v>810</v>
      </c>
      <c r="C33" s="104" t="s">
        <v>461</v>
      </c>
      <c r="D33" s="104" t="s">
        <v>574</v>
      </c>
      <c r="E33" s="104" t="s">
        <v>887</v>
      </c>
      <c r="F33" s="104" t="s">
        <v>812</v>
      </c>
    </row>
    <row r="34" ht="22.5" customHeight="1">
      <c r="A34" s="106" t="s">
        <v>855</v>
      </c>
      <c r="B34" s="106" t="s">
        <v>910</v>
      </c>
      <c r="C34" s="107" t="s">
        <v>465</v>
      </c>
      <c r="D34" s="107" t="s">
        <v>899</v>
      </c>
      <c r="E34" s="108">
        <v>45958.0</v>
      </c>
      <c r="F34" s="107" t="s">
        <v>890</v>
      </c>
    </row>
    <row r="35" ht="22.5" customHeight="1">
      <c r="A35" s="106" t="s">
        <v>911</v>
      </c>
      <c r="B35" s="106" t="s">
        <v>912</v>
      </c>
      <c r="C35" s="107" t="s">
        <v>471</v>
      </c>
      <c r="D35" s="107" t="s">
        <v>899</v>
      </c>
      <c r="E35" s="108">
        <v>45959.0</v>
      </c>
      <c r="F35" s="107" t="s">
        <v>890</v>
      </c>
    </row>
    <row r="36" ht="22.5" customHeight="1">
      <c r="A36" s="106" t="s">
        <v>857</v>
      </c>
      <c r="B36" s="106" t="s">
        <v>913</v>
      </c>
      <c r="C36" s="107" t="s">
        <v>465</v>
      </c>
      <c r="D36" s="107" t="s">
        <v>899</v>
      </c>
      <c r="E36" s="108">
        <v>45960.0</v>
      </c>
      <c r="F36" s="107" t="s">
        <v>890</v>
      </c>
    </row>
    <row r="37" ht="22.5" customHeight="1">
      <c r="A37" s="106" t="s">
        <v>914</v>
      </c>
      <c r="B37" s="106" t="s">
        <v>915</v>
      </c>
      <c r="C37" s="107" t="s">
        <v>471</v>
      </c>
      <c r="D37" s="107" t="s">
        <v>899</v>
      </c>
      <c r="E37" s="108">
        <v>45961.0</v>
      </c>
      <c r="F37" s="107" t="s">
        <v>890</v>
      </c>
    </row>
    <row r="38" ht="22.5" customHeight="1">
      <c r="A38" s="106" t="s">
        <v>916</v>
      </c>
      <c r="B38" s="106" t="s">
        <v>917</v>
      </c>
      <c r="C38" s="107" t="s">
        <v>465</v>
      </c>
      <c r="D38" s="107" t="s">
        <v>899</v>
      </c>
      <c r="E38" s="108">
        <v>45964.0</v>
      </c>
      <c r="F38" s="107" t="s">
        <v>890</v>
      </c>
    </row>
    <row r="39" ht="22.5" customHeight="1">
      <c r="A39" s="106" t="s">
        <v>859</v>
      </c>
      <c r="B39" s="106" t="s">
        <v>918</v>
      </c>
      <c r="C39" s="107" t="s">
        <v>465</v>
      </c>
      <c r="D39" s="107" t="s">
        <v>899</v>
      </c>
      <c r="E39" s="108">
        <v>45965.0</v>
      </c>
      <c r="F39" s="107" t="s">
        <v>890</v>
      </c>
    </row>
    <row r="40" ht="22.5" customHeight="1">
      <c r="A40" s="106" t="s">
        <v>919</v>
      </c>
      <c r="B40" s="106" t="s">
        <v>920</v>
      </c>
      <c r="C40" s="107" t="s">
        <v>471</v>
      </c>
      <c r="D40" s="107" t="s">
        <v>899</v>
      </c>
      <c r="E40" s="108">
        <v>45966.0</v>
      </c>
      <c r="F40" s="107" t="s">
        <v>890</v>
      </c>
    </row>
    <row r="41" ht="22.5" customHeight="1">
      <c r="A41" s="106" t="s">
        <v>921</v>
      </c>
      <c r="B41" s="106" t="s">
        <v>922</v>
      </c>
      <c r="C41" s="107" t="s">
        <v>471</v>
      </c>
      <c r="D41" s="107" t="s">
        <v>899</v>
      </c>
      <c r="E41" s="108">
        <v>45967.0</v>
      </c>
      <c r="F41" s="107" t="s">
        <v>890</v>
      </c>
    </row>
    <row r="42" ht="22.5" customHeight="1">
      <c r="A42" s="106" t="s">
        <v>861</v>
      </c>
      <c r="B42" s="106" t="s">
        <v>923</v>
      </c>
      <c r="C42" s="107" t="s">
        <v>465</v>
      </c>
      <c r="D42" s="107" t="s">
        <v>899</v>
      </c>
      <c r="E42" s="108">
        <v>45968.0</v>
      </c>
      <c r="F42" s="107" t="s">
        <v>890</v>
      </c>
    </row>
    <row r="43" ht="22.5" customHeight="1">
      <c r="A43" s="106" t="s">
        <v>862</v>
      </c>
      <c r="B43" s="106" t="s">
        <v>924</v>
      </c>
      <c r="C43" s="107" t="s">
        <v>471</v>
      </c>
      <c r="D43" s="107" t="s">
        <v>899</v>
      </c>
      <c r="E43" s="108">
        <v>45969.0</v>
      </c>
      <c r="F43" s="107" t="s">
        <v>890</v>
      </c>
    </row>
    <row r="44" ht="22.5" customHeight="1">
      <c r="A44" s="106" t="s">
        <v>925</v>
      </c>
      <c r="B44" s="106" t="s">
        <v>926</v>
      </c>
      <c r="C44" s="107" t="s">
        <v>465</v>
      </c>
      <c r="D44" s="107" t="s">
        <v>899</v>
      </c>
      <c r="E44" s="108">
        <v>45972.0</v>
      </c>
      <c r="F44" s="107" t="s">
        <v>890</v>
      </c>
    </row>
    <row r="45" ht="22.5" customHeight="1">
      <c r="A45" s="106" t="s">
        <v>864</v>
      </c>
      <c r="B45" s="106" t="s">
        <v>927</v>
      </c>
      <c r="C45" s="107" t="s">
        <v>465</v>
      </c>
      <c r="D45" s="107" t="s">
        <v>899</v>
      </c>
      <c r="E45" s="108">
        <v>45973.0</v>
      </c>
      <c r="F45" s="107" t="s">
        <v>890</v>
      </c>
    </row>
    <row r="46" ht="22.5" customHeight="1">
      <c r="A46" s="106" t="s">
        <v>866</v>
      </c>
      <c r="B46" s="106" t="s">
        <v>928</v>
      </c>
      <c r="C46" s="107" t="s">
        <v>471</v>
      </c>
      <c r="D46" s="107" t="s">
        <v>899</v>
      </c>
      <c r="E46" s="108">
        <v>45974.0</v>
      </c>
      <c r="F46" s="107" t="s">
        <v>890</v>
      </c>
    </row>
    <row r="47" ht="22.5" customHeight="1">
      <c r="A47" s="106" t="s">
        <v>929</v>
      </c>
      <c r="B47" s="106" t="s">
        <v>930</v>
      </c>
      <c r="C47" s="107" t="s">
        <v>12</v>
      </c>
      <c r="D47" s="107" t="s">
        <v>899</v>
      </c>
      <c r="E47" s="108">
        <v>45975.0</v>
      </c>
      <c r="F47" s="107" t="s">
        <v>890</v>
      </c>
    </row>
  </sheetData>
  <mergeCells count="1">
    <mergeCell ref="A1:D1"/>
  </mergeCells>
  <dataValidations>
    <dataValidation type="list" allowBlank="1" sqref="F4:F9 F13:F19 F23:F29 F34:F47">
      <formula1>"Ninguno,Rama personal,Desarrollo,Certificación,Producción"</formula1>
    </dataValidation>
    <dataValidation type="list" allowBlank="1" sqref="D4:D9 D13:D19 D23:D29 D34:D47">
      <formula1>"Completado,En progreso,Pendiente"</formula1>
    </dataValidation>
    <dataValidation type="custom" allowBlank="1" showDropDown="1" sqref="E4:E9 E13:E19 E23:E29 E34:E47">
      <formula1>OR(NOT(ISERROR(DATEVALUE(E4))), AND(ISNUMBER(E4), LEFT(CELL("format", E4))="D"))</formula1>
    </dataValidation>
    <dataValidation type="list" allowBlank="1" sqref="C4:C9 C13:C19 C23:C29 C34:C47">
      <formula1>"Alexander,Matías"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4.38"/>
    <col customWidth="1" min="3" max="3" width="22.25"/>
    <col customWidth="1" min="4" max="4" width="42.38"/>
    <col customWidth="1" min="5" max="5" width="30.38"/>
    <col customWidth="1" min="6" max="6" width="41.88"/>
    <col customWidth="1" min="10" max="10" width="6.75"/>
    <col customWidth="1" min="11" max="11" width="98.38"/>
  </cols>
  <sheetData>
    <row r="1">
      <c r="A1" s="1" t="s">
        <v>931</v>
      </c>
      <c r="K1" s="73" t="s">
        <v>932</v>
      </c>
    </row>
    <row r="2" ht="22.5" customHeight="1">
      <c r="A2" s="111" t="s">
        <v>933</v>
      </c>
      <c r="B2" s="111" t="s">
        <v>934</v>
      </c>
      <c r="C2" s="111" t="s">
        <v>935</v>
      </c>
      <c r="D2" s="111" t="s">
        <v>936</v>
      </c>
      <c r="E2" s="111" t="s">
        <v>937</v>
      </c>
      <c r="F2" s="111" t="s">
        <v>938</v>
      </c>
      <c r="K2" s="73" t="s">
        <v>939</v>
      </c>
    </row>
    <row r="3" ht="22.5" customHeight="1">
      <c r="A3" s="69" t="s">
        <v>580</v>
      </c>
      <c r="B3" s="43" t="s">
        <v>790</v>
      </c>
      <c r="C3" s="90" t="s">
        <v>940</v>
      </c>
      <c r="D3" s="43" t="s">
        <v>941</v>
      </c>
      <c r="E3" s="43" t="s">
        <v>942</v>
      </c>
      <c r="F3" s="43" t="s">
        <v>943</v>
      </c>
      <c r="K3" s="71"/>
    </row>
    <row r="4" ht="22.5" customHeight="1">
      <c r="A4" s="69" t="s">
        <v>592</v>
      </c>
      <c r="B4" s="43" t="s">
        <v>944</v>
      </c>
      <c r="C4" s="90" t="s">
        <v>945</v>
      </c>
      <c r="D4" s="43" t="s">
        <v>946</v>
      </c>
      <c r="E4" s="43" t="s">
        <v>947</v>
      </c>
      <c r="F4" s="43" t="s">
        <v>948</v>
      </c>
      <c r="K4" s="73" t="s">
        <v>949</v>
      </c>
    </row>
    <row r="5" ht="22.5" customHeight="1">
      <c r="A5" s="69" t="s">
        <v>603</v>
      </c>
      <c r="B5" s="43" t="s">
        <v>950</v>
      </c>
      <c r="C5" s="90" t="s">
        <v>945</v>
      </c>
      <c r="D5" s="43" t="s">
        <v>951</v>
      </c>
      <c r="E5" s="43" t="s">
        <v>952</v>
      </c>
      <c r="F5" s="112" t="s">
        <v>953</v>
      </c>
      <c r="K5" s="73" t="s">
        <v>954</v>
      </c>
    </row>
    <row r="6" ht="22.5" customHeight="1">
      <c r="A6" s="69" t="s">
        <v>622</v>
      </c>
      <c r="B6" s="43" t="s">
        <v>801</v>
      </c>
      <c r="C6" s="90" t="s">
        <v>945</v>
      </c>
      <c r="D6" s="43" t="s">
        <v>955</v>
      </c>
      <c r="E6" s="113" t="s">
        <v>956</v>
      </c>
      <c r="F6" s="43" t="s">
        <v>957</v>
      </c>
      <c r="K6" s="73" t="s">
        <v>958</v>
      </c>
    </row>
    <row r="7" ht="22.5" customHeight="1">
      <c r="A7" s="69" t="s">
        <v>636</v>
      </c>
      <c r="B7" s="43" t="s">
        <v>959</v>
      </c>
      <c r="C7" s="90" t="s">
        <v>945</v>
      </c>
      <c r="D7" s="43" t="s">
        <v>960</v>
      </c>
      <c r="E7" s="43" t="s">
        <v>961</v>
      </c>
      <c r="F7" s="43" t="s">
        <v>962</v>
      </c>
      <c r="K7" s="73" t="s">
        <v>963</v>
      </c>
    </row>
    <row r="8">
      <c r="K8" s="73" t="s">
        <v>964</v>
      </c>
    </row>
    <row r="16">
      <c r="E16" s="114"/>
    </row>
  </sheetData>
  <mergeCells count="1">
    <mergeCell ref="A1:F1"/>
  </mergeCells>
  <dataValidations>
    <dataValidation type="list" allowBlank="1" sqref="C3:C7">
      <formula1>"Parcial (80%),Sí"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6.38"/>
    <col customWidth="1" min="3" max="3" width="30.88"/>
    <col customWidth="1" min="4" max="4" width="29.63"/>
    <col customWidth="1" min="5" max="5" width="30.5"/>
    <col customWidth="1" min="6" max="6" width="15.25"/>
    <col customWidth="1" min="11" max="11" width="13.0"/>
  </cols>
  <sheetData>
    <row r="1">
      <c r="A1" s="1" t="s">
        <v>965</v>
      </c>
      <c r="K1" s="115"/>
    </row>
    <row r="2">
      <c r="A2" s="116" t="s">
        <v>966</v>
      </c>
    </row>
    <row r="3" ht="22.5" customHeight="1">
      <c r="A3" s="117" t="s">
        <v>967</v>
      </c>
      <c r="B3" s="117" t="s">
        <v>968</v>
      </c>
      <c r="C3" s="117" t="s">
        <v>969</v>
      </c>
      <c r="D3" s="117" t="s">
        <v>970</v>
      </c>
      <c r="E3" s="117" t="s">
        <v>971</v>
      </c>
      <c r="F3" s="117" t="s">
        <v>461</v>
      </c>
    </row>
    <row r="4" ht="22.5" customHeight="1">
      <c r="A4" s="69" t="s">
        <v>972</v>
      </c>
      <c r="B4" s="43" t="s">
        <v>973</v>
      </c>
      <c r="C4" s="43" t="s">
        <v>974</v>
      </c>
      <c r="D4" s="43" t="s">
        <v>975</v>
      </c>
      <c r="E4" s="43" t="s">
        <v>976</v>
      </c>
      <c r="F4" s="118" t="s">
        <v>465</v>
      </c>
      <c r="H4" s="44"/>
      <c r="I4" s="44"/>
      <c r="J4" s="44"/>
      <c r="K4" s="44"/>
      <c r="L4" s="44"/>
      <c r="M4" s="44"/>
    </row>
    <row r="5" ht="22.5" customHeight="1">
      <c r="A5" s="69" t="s">
        <v>977</v>
      </c>
      <c r="B5" s="43" t="s">
        <v>978</v>
      </c>
      <c r="C5" s="43" t="s">
        <v>979</v>
      </c>
      <c r="D5" s="43" t="s">
        <v>980</v>
      </c>
      <c r="E5" s="43" t="s">
        <v>981</v>
      </c>
      <c r="F5" s="118" t="s">
        <v>471</v>
      </c>
    </row>
    <row r="6" ht="22.5" customHeight="1">
      <c r="A6" s="69" t="s">
        <v>982</v>
      </c>
      <c r="B6" s="43" t="s">
        <v>983</v>
      </c>
      <c r="C6" s="43" t="s">
        <v>984</v>
      </c>
      <c r="D6" s="43" t="s">
        <v>985</v>
      </c>
      <c r="E6" s="43" t="s">
        <v>986</v>
      </c>
      <c r="F6" s="118" t="s">
        <v>486</v>
      </c>
    </row>
    <row r="8">
      <c r="A8" s="116" t="s">
        <v>987</v>
      </c>
    </row>
    <row r="9" ht="22.5" customHeight="1">
      <c r="A9" s="41" t="s">
        <v>967</v>
      </c>
      <c r="B9" s="41" t="s">
        <v>968</v>
      </c>
      <c r="C9" s="41" t="s">
        <v>969</v>
      </c>
      <c r="D9" s="41" t="s">
        <v>970</v>
      </c>
      <c r="E9" s="41" t="s">
        <v>971</v>
      </c>
      <c r="F9" s="41" t="s">
        <v>461</v>
      </c>
      <c r="H9" s="44"/>
      <c r="I9" s="44"/>
      <c r="J9" s="44"/>
      <c r="K9" s="44"/>
      <c r="L9" s="44"/>
      <c r="M9" s="44"/>
    </row>
    <row r="10" ht="22.5" customHeight="1">
      <c r="A10" s="69" t="s">
        <v>972</v>
      </c>
      <c r="B10" s="43" t="s">
        <v>988</v>
      </c>
      <c r="C10" s="43" t="s">
        <v>989</v>
      </c>
      <c r="D10" s="43" t="s">
        <v>990</v>
      </c>
      <c r="E10" s="43" t="s">
        <v>991</v>
      </c>
      <c r="F10" s="118" t="s">
        <v>465</v>
      </c>
    </row>
    <row r="11" ht="22.5" customHeight="1">
      <c r="A11" s="69" t="s">
        <v>977</v>
      </c>
      <c r="B11" s="43" t="s">
        <v>992</v>
      </c>
      <c r="C11" s="43" t="s">
        <v>993</v>
      </c>
      <c r="D11" s="43" t="s">
        <v>994</v>
      </c>
      <c r="E11" s="43" t="s">
        <v>995</v>
      </c>
      <c r="F11" s="118" t="s">
        <v>471</v>
      </c>
    </row>
    <row r="12" ht="22.5" customHeight="1">
      <c r="A12" s="69" t="s">
        <v>996</v>
      </c>
      <c r="B12" s="43" t="s">
        <v>997</v>
      </c>
      <c r="C12" s="43" t="s">
        <v>998</v>
      </c>
      <c r="D12" s="43" t="s">
        <v>999</v>
      </c>
      <c r="E12" s="43" t="s">
        <v>1000</v>
      </c>
      <c r="F12" s="118" t="s">
        <v>465</v>
      </c>
    </row>
    <row r="13" ht="22.5" customHeight="1">
      <c r="A13" s="69" t="s">
        <v>501</v>
      </c>
      <c r="B13" s="43" t="s">
        <v>1001</v>
      </c>
      <c r="C13" s="43" t="s">
        <v>1002</v>
      </c>
      <c r="D13" s="43" t="s">
        <v>1003</v>
      </c>
      <c r="E13" s="43" t="s">
        <v>1004</v>
      </c>
      <c r="F13" s="118" t="s">
        <v>471</v>
      </c>
    </row>
    <row r="15">
      <c r="A15" s="116" t="s">
        <v>1005</v>
      </c>
      <c r="G15" s="119"/>
      <c r="M15" s="119"/>
      <c r="S15" s="119"/>
    </row>
    <row r="16" ht="22.5" customHeight="1">
      <c r="A16" s="41" t="s">
        <v>967</v>
      </c>
      <c r="B16" s="41" t="s">
        <v>968</v>
      </c>
      <c r="C16" s="41" t="s">
        <v>969</v>
      </c>
      <c r="D16" s="41" t="s">
        <v>970</v>
      </c>
      <c r="E16" s="41" t="s">
        <v>971</v>
      </c>
      <c r="F16" s="41" t="s">
        <v>461</v>
      </c>
      <c r="H16" s="44"/>
      <c r="I16" s="44"/>
      <c r="J16" s="44"/>
      <c r="K16" s="44"/>
      <c r="L16" s="44"/>
      <c r="M16" s="44"/>
    </row>
    <row r="17" ht="22.5" customHeight="1">
      <c r="A17" s="43" t="s">
        <v>972</v>
      </c>
      <c r="B17" s="43" t="s">
        <v>1006</v>
      </c>
      <c r="C17" s="43" t="s">
        <v>1007</v>
      </c>
      <c r="D17" s="43" t="s">
        <v>1008</v>
      </c>
      <c r="E17" s="43" t="s">
        <v>1009</v>
      </c>
      <c r="F17" s="118" t="s">
        <v>465</v>
      </c>
    </row>
    <row r="18" ht="22.5" customHeight="1">
      <c r="A18" s="43" t="s">
        <v>1010</v>
      </c>
      <c r="B18" s="43" t="s">
        <v>1011</v>
      </c>
      <c r="C18" s="43" t="s">
        <v>1012</v>
      </c>
      <c r="D18" s="43" t="s">
        <v>1013</v>
      </c>
      <c r="E18" s="43" t="s">
        <v>1014</v>
      </c>
      <c r="F18" s="118" t="s">
        <v>471</v>
      </c>
    </row>
    <row r="19" ht="22.5" customHeight="1">
      <c r="A19" s="43" t="s">
        <v>501</v>
      </c>
      <c r="B19" s="43" t="s">
        <v>1015</v>
      </c>
      <c r="C19" s="43" t="s">
        <v>1016</v>
      </c>
      <c r="D19" s="43" t="s">
        <v>1017</v>
      </c>
      <c r="E19" s="43" t="s">
        <v>1018</v>
      </c>
      <c r="F19" s="118" t="s">
        <v>465</v>
      </c>
    </row>
    <row r="21">
      <c r="A21" s="116" t="s">
        <v>1019</v>
      </c>
    </row>
    <row r="22" ht="22.5" customHeight="1">
      <c r="A22" s="41" t="s">
        <v>967</v>
      </c>
      <c r="B22" s="41" t="s">
        <v>968</v>
      </c>
      <c r="C22" s="41" t="s">
        <v>969</v>
      </c>
      <c r="D22" s="41" t="s">
        <v>970</v>
      </c>
      <c r="E22" s="41" t="s">
        <v>971</v>
      </c>
      <c r="F22" s="41" t="s">
        <v>461</v>
      </c>
      <c r="H22" s="44"/>
      <c r="I22" s="44"/>
      <c r="J22" s="44"/>
      <c r="K22" s="44"/>
      <c r="L22" s="44"/>
      <c r="M22" s="44"/>
    </row>
    <row r="23" ht="22.5" customHeight="1">
      <c r="A23" s="69" t="s">
        <v>972</v>
      </c>
      <c r="B23" s="43" t="s">
        <v>1020</v>
      </c>
      <c r="C23" s="43" t="s">
        <v>1021</v>
      </c>
      <c r="D23" s="43" t="s">
        <v>1022</v>
      </c>
      <c r="E23" s="43" t="s">
        <v>1023</v>
      </c>
      <c r="F23" s="118" t="s">
        <v>465</v>
      </c>
    </row>
    <row r="24" ht="22.5" customHeight="1">
      <c r="A24" s="69" t="s">
        <v>1024</v>
      </c>
      <c r="B24" s="43" t="s">
        <v>1025</v>
      </c>
      <c r="C24" s="43" t="s">
        <v>1026</v>
      </c>
      <c r="D24" s="43" t="s">
        <v>1027</v>
      </c>
      <c r="E24" s="43" t="s">
        <v>1028</v>
      </c>
      <c r="F24" s="118" t="s">
        <v>471</v>
      </c>
    </row>
    <row r="25" ht="22.5" customHeight="1">
      <c r="A25" s="69" t="s">
        <v>1029</v>
      </c>
      <c r="B25" s="43" t="s">
        <v>1030</v>
      </c>
      <c r="C25" s="43" t="s">
        <v>1031</v>
      </c>
      <c r="D25" s="43" t="s">
        <v>1032</v>
      </c>
      <c r="E25" s="43" t="s">
        <v>1033</v>
      </c>
      <c r="F25" s="118" t="s">
        <v>486</v>
      </c>
    </row>
    <row r="27">
      <c r="A27" s="116" t="s">
        <v>1034</v>
      </c>
      <c r="G27" s="119"/>
      <c r="M27" s="119"/>
      <c r="S27" s="119"/>
    </row>
    <row r="28" ht="22.5" customHeight="1">
      <c r="A28" s="41" t="s">
        <v>967</v>
      </c>
      <c r="B28" s="41" t="s">
        <v>968</v>
      </c>
      <c r="C28" s="41" t="s">
        <v>969</v>
      </c>
      <c r="D28" s="41" t="s">
        <v>970</v>
      </c>
      <c r="E28" s="41" t="s">
        <v>971</v>
      </c>
      <c r="F28" s="41" t="s">
        <v>461</v>
      </c>
    </row>
    <row r="29" ht="22.5" customHeight="1">
      <c r="A29" s="69" t="s">
        <v>501</v>
      </c>
      <c r="B29" s="43" t="s">
        <v>1035</v>
      </c>
      <c r="C29" s="43" t="s">
        <v>1036</v>
      </c>
      <c r="D29" s="43" t="s">
        <v>1037</v>
      </c>
      <c r="E29" s="43" t="s">
        <v>1038</v>
      </c>
      <c r="F29" s="118" t="s">
        <v>465</v>
      </c>
    </row>
    <row r="30" ht="22.5" customHeight="1">
      <c r="A30" s="69" t="s">
        <v>443</v>
      </c>
      <c r="B30" s="43" t="s">
        <v>1039</v>
      </c>
      <c r="C30" s="43" t="s">
        <v>1040</v>
      </c>
      <c r="D30" s="43" t="s">
        <v>1041</v>
      </c>
      <c r="E30" s="43" t="s">
        <v>1042</v>
      </c>
      <c r="F30" s="118" t="s">
        <v>471</v>
      </c>
    </row>
    <row r="31" ht="22.5" customHeight="1">
      <c r="A31" s="69" t="s">
        <v>1043</v>
      </c>
      <c r="B31" s="43" t="s">
        <v>1044</v>
      </c>
      <c r="C31" s="43" t="s">
        <v>1045</v>
      </c>
      <c r="D31" s="43" t="s">
        <v>1046</v>
      </c>
      <c r="E31" s="43" t="s">
        <v>1047</v>
      </c>
      <c r="F31" s="118" t="s">
        <v>486</v>
      </c>
    </row>
    <row r="33">
      <c r="A33" s="44"/>
      <c r="B33" s="44"/>
      <c r="C33" s="44"/>
      <c r="D33" s="44"/>
      <c r="E33" s="44"/>
      <c r="F33" s="44"/>
    </row>
  </sheetData>
  <mergeCells count="12">
    <mergeCell ref="A21:F21"/>
    <mergeCell ref="A27:F27"/>
    <mergeCell ref="G27:L27"/>
    <mergeCell ref="M27:R27"/>
    <mergeCell ref="S27:X27"/>
    <mergeCell ref="A1:F1"/>
    <mergeCell ref="A2:F2"/>
    <mergeCell ref="A8:F8"/>
    <mergeCell ref="A15:F15"/>
    <mergeCell ref="G15:L15"/>
    <mergeCell ref="M15:R15"/>
    <mergeCell ref="S15:X15"/>
  </mergeCells>
  <dataValidations>
    <dataValidation type="list" allowBlank="1" sqref="F4:F6 F23:F25 F29:F31">
      <formula1>"Matías,Alexander,Ambos"</formula1>
    </dataValidation>
    <dataValidation type="list" allowBlank="1" sqref="F10:F13 F17:F19">
      <formula1>"Matías,Alexander"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9.0"/>
    <col customWidth="1" min="3" max="3" width="37.63"/>
    <col customWidth="1" min="4" max="4" width="44.25"/>
    <col customWidth="1" min="5" max="5" width="27.88"/>
    <col customWidth="1" min="6" max="6" width="0.38"/>
    <col customWidth="1" min="11" max="11" width="10.88"/>
  </cols>
  <sheetData>
    <row r="1">
      <c r="A1" s="1" t="s">
        <v>1048</v>
      </c>
      <c r="K1" s="73"/>
    </row>
    <row r="2">
      <c r="A2" s="120"/>
      <c r="F2" s="36"/>
    </row>
    <row r="3" ht="22.5" customHeight="1">
      <c r="A3" s="117" t="s">
        <v>1049</v>
      </c>
      <c r="B3" s="117" t="s">
        <v>935</v>
      </c>
      <c r="C3" s="117" t="s">
        <v>149</v>
      </c>
      <c r="D3" s="117" t="s">
        <v>1050</v>
      </c>
      <c r="E3" s="117" t="s">
        <v>1051</v>
      </c>
      <c r="G3" s="44"/>
      <c r="H3" s="44"/>
      <c r="I3" s="44"/>
      <c r="J3" s="44"/>
      <c r="K3" s="44"/>
    </row>
    <row r="4" ht="22.5" customHeight="1">
      <c r="A4" s="69" t="s">
        <v>1052</v>
      </c>
      <c r="B4" s="69" t="s">
        <v>945</v>
      </c>
      <c r="C4" s="43" t="s">
        <v>1053</v>
      </c>
      <c r="D4" s="43" t="s">
        <v>1054</v>
      </c>
      <c r="E4" s="121" t="s">
        <v>462</v>
      </c>
    </row>
    <row r="5" ht="22.5" customHeight="1">
      <c r="A5" s="69" t="s">
        <v>1055</v>
      </c>
      <c r="B5" s="69" t="s">
        <v>1056</v>
      </c>
      <c r="C5" s="43" t="s">
        <v>1057</v>
      </c>
      <c r="D5" s="43" t="s">
        <v>1058</v>
      </c>
      <c r="E5" s="122" t="s">
        <v>1059</v>
      </c>
    </row>
    <row r="6" ht="22.5" customHeight="1">
      <c r="A6" s="69" t="s">
        <v>1060</v>
      </c>
      <c r="B6" s="69" t="s">
        <v>1056</v>
      </c>
      <c r="C6" s="43" t="s">
        <v>1061</v>
      </c>
      <c r="D6" s="43" t="s">
        <v>1062</v>
      </c>
      <c r="E6" s="122" t="s">
        <v>1059</v>
      </c>
    </row>
    <row r="7">
      <c r="A7" s="2"/>
      <c r="B7" s="2"/>
      <c r="C7" s="2"/>
      <c r="D7" s="2"/>
      <c r="E7" s="2"/>
    </row>
    <row r="8" ht="22.5" customHeight="1">
      <c r="A8" s="117" t="s">
        <v>1049</v>
      </c>
      <c r="B8" s="117" t="s">
        <v>1063</v>
      </c>
      <c r="C8" s="117" t="s">
        <v>149</v>
      </c>
      <c r="D8" s="117" t="s">
        <v>1050</v>
      </c>
      <c r="E8" s="117" t="s">
        <v>574</v>
      </c>
      <c r="G8" s="44"/>
      <c r="H8" s="44"/>
      <c r="I8" s="44"/>
      <c r="J8" s="44"/>
      <c r="K8" s="44"/>
    </row>
    <row r="9" ht="22.5" customHeight="1">
      <c r="A9" s="69" t="s">
        <v>1055</v>
      </c>
      <c r="B9" s="69" t="s">
        <v>945</v>
      </c>
      <c r="C9" s="43" t="s">
        <v>1064</v>
      </c>
      <c r="D9" s="43" t="s">
        <v>1065</v>
      </c>
      <c r="E9" s="123" t="s">
        <v>1066</v>
      </c>
    </row>
    <row r="10" ht="22.5" customHeight="1">
      <c r="A10" s="69" t="s">
        <v>1060</v>
      </c>
      <c r="B10" s="69" t="s">
        <v>945</v>
      </c>
      <c r="C10" s="43" t="s">
        <v>1067</v>
      </c>
      <c r="D10" s="43" t="s">
        <v>1068</v>
      </c>
      <c r="E10" s="123" t="s">
        <v>1066</v>
      </c>
    </row>
    <row r="11" ht="22.5" customHeight="1">
      <c r="A11" s="69" t="s">
        <v>1069</v>
      </c>
      <c r="B11" s="69" t="s">
        <v>945</v>
      </c>
      <c r="C11" s="43" t="s">
        <v>1070</v>
      </c>
      <c r="D11" s="43" t="s">
        <v>1071</v>
      </c>
      <c r="E11" s="123" t="s">
        <v>1066</v>
      </c>
    </row>
    <row r="12" ht="22.5" customHeight="1">
      <c r="A12" s="69" t="s">
        <v>1072</v>
      </c>
      <c r="B12" s="69" t="s">
        <v>945</v>
      </c>
      <c r="C12" s="43" t="s">
        <v>1073</v>
      </c>
      <c r="D12" s="43" t="s">
        <v>1074</v>
      </c>
      <c r="E12" s="123" t="s">
        <v>1066</v>
      </c>
    </row>
    <row r="13" ht="22.5" customHeight="1">
      <c r="A13" s="69" t="s">
        <v>1075</v>
      </c>
      <c r="B13" s="69" t="s">
        <v>945</v>
      </c>
      <c r="C13" s="43" t="s">
        <v>1076</v>
      </c>
      <c r="D13" s="43" t="s">
        <v>1077</v>
      </c>
      <c r="E13" s="123" t="s">
        <v>1066</v>
      </c>
    </row>
    <row r="14" ht="22.5" customHeight="1">
      <c r="A14" s="69" t="s">
        <v>1078</v>
      </c>
      <c r="B14" s="69" t="s">
        <v>945</v>
      </c>
      <c r="C14" s="43" t="s">
        <v>1079</v>
      </c>
      <c r="D14" s="43" t="s">
        <v>1080</v>
      </c>
      <c r="E14" s="123" t="s">
        <v>1066</v>
      </c>
    </row>
    <row r="15" ht="22.5" customHeight="1">
      <c r="A15" s="69" t="s">
        <v>1081</v>
      </c>
      <c r="B15" s="69" t="s">
        <v>945</v>
      </c>
      <c r="C15" s="43" t="s">
        <v>1082</v>
      </c>
      <c r="D15" s="43" t="s">
        <v>1083</v>
      </c>
      <c r="E15" s="123" t="s">
        <v>1066</v>
      </c>
    </row>
    <row r="16">
      <c r="A16" s="2"/>
      <c r="B16" s="2"/>
      <c r="C16" s="2"/>
      <c r="D16" s="2"/>
      <c r="E16" s="2"/>
    </row>
    <row r="17" ht="22.5" customHeight="1">
      <c r="A17" s="117" t="s">
        <v>1049</v>
      </c>
      <c r="B17" s="117" t="s">
        <v>1063</v>
      </c>
      <c r="C17" s="117" t="s">
        <v>149</v>
      </c>
      <c r="D17" s="117" t="s">
        <v>1050</v>
      </c>
      <c r="E17" s="117" t="s">
        <v>574</v>
      </c>
      <c r="G17" s="44"/>
      <c r="H17" s="44"/>
      <c r="I17" s="44"/>
      <c r="J17" s="44"/>
      <c r="K17" s="44"/>
    </row>
    <row r="18" ht="22.5" customHeight="1">
      <c r="A18" s="69" t="s">
        <v>1084</v>
      </c>
      <c r="B18" s="69" t="s">
        <v>945</v>
      </c>
      <c r="C18" s="43" t="s">
        <v>1085</v>
      </c>
      <c r="D18" s="43" t="s">
        <v>1086</v>
      </c>
      <c r="E18" s="123" t="s">
        <v>1066</v>
      </c>
    </row>
    <row r="19" ht="22.5" customHeight="1">
      <c r="A19" s="69" t="s">
        <v>1087</v>
      </c>
      <c r="B19" s="69" t="s">
        <v>945</v>
      </c>
      <c r="C19" s="43" t="s">
        <v>1088</v>
      </c>
      <c r="D19" s="43" t="s">
        <v>1089</v>
      </c>
      <c r="E19" s="123" t="s">
        <v>1066</v>
      </c>
    </row>
    <row r="20" ht="22.5" customHeight="1">
      <c r="A20" s="69" t="s">
        <v>1090</v>
      </c>
      <c r="B20" s="69" t="s">
        <v>945</v>
      </c>
      <c r="C20" s="43" t="s">
        <v>1091</v>
      </c>
      <c r="D20" s="43" t="s">
        <v>1092</v>
      </c>
      <c r="E20" s="123" t="s">
        <v>1066</v>
      </c>
    </row>
    <row r="21" ht="22.5" customHeight="1">
      <c r="A21" s="69" t="s">
        <v>1093</v>
      </c>
      <c r="B21" s="69" t="s">
        <v>1094</v>
      </c>
      <c r="C21" s="43" t="s">
        <v>1095</v>
      </c>
      <c r="D21" s="43" t="s">
        <v>1096</v>
      </c>
      <c r="E21" s="122" t="s">
        <v>1097</v>
      </c>
    </row>
    <row r="22">
      <c r="A22" s="2"/>
      <c r="B22" s="2"/>
      <c r="C22" s="2"/>
      <c r="D22" s="2"/>
      <c r="E22" s="2"/>
    </row>
    <row r="23" ht="22.5" customHeight="1">
      <c r="A23" s="117" t="s">
        <v>1049</v>
      </c>
      <c r="B23" s="117" t="s">
        <v>1063</v>
      </c>
      <c r="C23" s="117" t="s">
        <v>149</v>
      </c>
      <c r="D23" s="117" t="s">
        <v>1050</v>
      </c>
      <c r="E23" s="117" t="s">
        <v>574</v>
      </c>
      <c r="G23" s="44"/>
      <c r="H23" s="44"/>
      <c r="I23" s="44"/>
      <c r="J23" s="44"/>
      <c r="K23" s="44"/>
    </row>
    <row r="24" ht="22.5" customHeight="1">
      <c r="A24" s="69" t="s">
        <v>1098</v>
      </c>
      <c r="B24" s="69" t="s">
        <v>945</v>
      </c>
      <c r="C24" s="43" t="s">
        <v>1099</v>
      </c>
      <c r="D24" s="43" t="s">
        <v>1100</v>
      </c>
      <c r="E24" s="123" t="s">
        <v>1066</v>
      </c>
    </row>
    <row r="25" ht="22.5" customHeight="1">
      <c r="A25" s="69" t="s">
        <v>1101</v>
      </c>
      <c r="B25" s="69" t="s">
        <v>945</v>
      </c>
      <c r="C25" s="43" t="s">
        <v>1102</v>
      </c>
      <c r="D25" s="43" t="s">
        <v>1103</v>
      </c>
      <c r="E25" s="123" t="s">
        <v>1066</v>
      </c>
    </row>
    <row r="26" ht="22.5" customHeight="1">
      <c r="A26" s="69" t="s">
        <v>1104</v>
      </c>
      <c r="B26" s="69" t="s">
        <v>945</v>
      </c>
      <c r="C26" s="106" t="s">
        <v>1105</v>
      </c>
      <c r="D26" s="106" t="s">
        <v>1106</v>
      </c>
      <c r="E26" s="124" t="s">
        <v>1107</v>
      </c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22.5" customHeight="1">
      <c r="A27" s="69" t="s">
        <v>1108</v>
      </c>
      <c r="B27" s="69" t="s">
        <v>945</v>
      </c>
      <c r="C27" s="43" t="s">
        <v>1109</v>
      </c>
      <c r="D27" s="43" t="s">
        <v>1110</v>
      </c>
      <c r="E27" s="123" t="s">
        <v>1066</v>
      </c>
    </row>
    <row r="28" ht="22.5" customHeight="1">
      <c r="A28" s="69" t="s">
        <v>1111</v>
      </c>
      <c r="B28" s="69" t="s">
        <v>945</v>
      </c>
      <c r="C28" s="43" t="s">
        <v>1112</v>
      </c>
      <c r="D28" s="43" t="s">
        <v>1113</v>
      </c>
      <c r="E28" s="123" t="s">
        <v>1066</v>
      </c>
    </row>
    <row r="29">
      <c r="A29" s="2"/>
      <c r="B29" s="2"/>
      <c r="C29" s="2"/>
      <c r="D29" s="2"/>
      <c r="E29" s="2"/>
    </row>
    <row r="30" ht="22.5" customHeight="1">
      <c r="A30" s="117" t="s">
        <v>1049</v>
      </c>
      <c r="B30" s="117" t="s">
        <v>1063</v>
      </c>
      <c r="C30" s="117" t="s">
        <v>149</v>
      </c>
      <c r="D30" s="117" t="s">
        <v>1050</v>
      </c>
      <c r="E30" s="117" t="s">
        <v>574</v>
      </c>
      <c r="G30" s="44"/>
      <c r="H30" s="44"/>
      <c r="I30" s="44"/>
      <c r="J30" s="44"/>
      <c r="K30" s="44"/>
    </row>
    <row r="31" ht="22.5" customHeight="1">
      <c r="A31" s="69" t="s">
        <v>1114</v>
      </c>
      <c r="B31" s="69" t="s">
        <v>945</v>
      </c>
      <c r="C31" s="43" t="s">
        <v>1115</v>
      </c>
      <c r="D31" s="43" t="s">
        <v>1116</v>
      </c>
      <c r="E31" s="125" t="s">
        <v>1117</v>
      </c>
    </row>
    <row r="32" ht="22.5" customHeight="1">
      <c r="A32" s="69" t="s">
        <v>1118</v>
      </c>
      <c r="B32" s="69" t="s">
        <v>945</v>
      </c>
      <c r="C32" s="43" t="s">
        <v>1119</v>
      </c>
      <c r="D32" s="43" t="s">
        <v>1120</v>
      </c>
      <c r="E32" s="125" t="s">
        <v>1117</v>
      </c>
    </row>
    <row r="33" ht="22.5" customHeight="1">
      <c r="A33" s="69" t="s">
        <v>1121</v>
      </c>
      <c r="B33" s="69" t="s">
        <v>945</v>
      </c>
      <c r="C33" s="43" t="s">
        <v>1122</v>
      </c>
      <c r="D33" s="43" t="s">
        <v>1123</v>
      </c>
      <c r="E33" s="125" t="s">
        <v>1117</v>
      </c>
    </row>
  </sheetData>
  <mergeCells count="2">
    <mergeCell ref="A1:F1"/>
    <mergeCell ref="A2:E2"/>
  </mergeCells>
  <drawing r:id="rId1"/>
  <tableParts count="5">
    <tablePart r:id="rId7"/>
    <tablePart r:id="rId8"/>
    <tablePart r:id="rId9"/>
    <tablePart r:id="rId10"/>
    <tablePart r:id="rId11"/>
  </tableParts>
</worksheet>
</file>